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40" windowWidth="29040" windowHeight="15840" tabRatio="600" firstSheet="0" activeTab="2" autoFilterDateGrouping="1"/>
  </bookViews>
  <sheets>
    <sheet name="А3" sheetId="1" state="visible" r:id="rId1"/>
    <sheet name="Ресурсы" sheetId="2" state="visible" r:id="rId2"/>
    <sheet name="Бюджет" sheetId="3" state="visible" r:id="rId3"/>
  </sheets>
  <definedNames/>
  <calcPr calcId="191029" fullCalcOnLoad="1"/>
</workbook>
</file>

<file path=xl/styles.xml><?xml version="1.0" encoding="utf-8"?>
<styleSheet xmlns="http://schemas.openxmlformats.org/spreadsheetml/2006/main">
  <numFmts count="1">
    <numFmt numFmtId="164" formatCode="#,##0\ &quot;₽&quot;"/>
  </numFmts>
  <fonts count="23">
    <font>
      <name val="Calibri"/>
      <family val="2"/>
      <color theme="1"/>
      <sz val="11"/>
      <scheme val="minor"/>
    </font>
    <font>
      <name val="Calibri"/>
      <charset val="204"/>
      <family val="2"/>
      <color theme="1"/>
      <sz val="11"/>
      <scheme val="minor"/>
    </font>
    <font>
      <name val="Calibri"/>
      <charset val="204"/>
      <family val="2"/>
      <color theme="1"/>
      <sz val="11"/>
      <scheme val="minor"/>
    </font>
    <font>
      <name val="Calibri"/>
      <family val="2"/>
      <color theme="1"/>
      <sz val="11"/>
      <scheme val="minor"/>
    </font>
    <font>
      <name val="Tahoma"/>
      <charset val="204"/>
      <family val="2"/>
      <b val="1"/>
      <color theme="1"/>
      <sz val="10"/>
    </font>
    <font>
      <name val="Calibri"/>
      <family val="2"/>
      <color theme="1"/>
      <sz val="8"/>
      <scheme val="minor"/>
    </font>
    <font>
      <name val="Calibri"/>
      <charset val="204"/>
      <family val="2"/>
      <b val="1"/>
      <color theme="1"/>
      <sz val="20"/>
      <scheme val="minor"/>
    </font>
    <font>
      <name val="Calibri"/>
      <family val="2"/>
      <color theme="1"/>
      <sz val="10"/>
      <scheme val="minor"/>
    </font>
    <font>
      <name val="Calibri"/>
      <family val="2"/>
      <b val="1"/>
      <color theme="1"/>
      <sz val="10"/>
      <scheme val="minor"/>
    </font>
    <font>
      <name val="Calibri"/>
      <charset val="204"/>
      <family val="2"/>
      <b val="1"/>
      <color theme="1"/>
      <sz val="10"/>
      <scheme val="minor"/>
    </font>
    <font>
      <name val="Calibri"/>
      <charset val="204"/>
      <family val="2"/>
      <b val="1"/>
      <color theme="1"/>
      <sz val="8"/>
      <scheme val="minor"/>
    </font>
    <font>
      <name val="Calibri"/>
      <family val="2"/>
      <b val="1"/>
      <color theme="1"/>
      <sz val="8"/>
      <scheme val="minor"/>
    </font>
    <font>
      <name val="Calibri"/>
      <family val="2"/>
      <color theme="1"/>
      <sz val="10"/>
      <u val="single"/>
      <scheme val="minor"/>
    </font>
    <font>
      <name val="Calibri"/>
      <charset val="204"/>
      <family val="2"/>
      <color theme="1"/>
      <sz val="10"/>
      <scheme val="minor"/>
    </font>
    <font>
      <name val="Calibri"/>
      <family val="2"/>
      <color rgb="FFFF0000"/>
      <sz val="10"/>
      <scheme val="minor"/>
    </font>
    <font>
      <name val="Calibri"/>
      <family val="2"/>
      <sz val="10"/>
      <scheme val="minor"/>
    </font>
    <font>
      <name val="Calibri"/>
      <charset val="204"/>
      <family val="2"/>
      <b val="1"/>
      <color theme="1"/>
      <sz val="11"/>
      <scheme val="minor"/>
    </font>
    <font>
      <name val="Calibri"/>
      <charset val="204"/>
      <family val="2"/>
      <b val="1"/>
      <color theme="1"/>
      <sz val="18"/>
      <scheme val="minor"/>
    </font>
    <font>
      <name val="Calibri"/>
      <charset val="204"/>
      <family val="2"/>
      <b val="1"/>
      <color theme="1"/>
      <sz val="12"/>
      <scheme val="minor"/>
    </font>
    <font>
      <name val="Calibri"/>
      <charset val="204"/>
      <family val="2"/>
      <b val="1"/>
      <color rgb="FFFF0000"/>
      <sz val="11"/>
      <scheme val="minor"/>
    </font>
    <font>
      <name val="Calibri"/>
      <family val="2"/>
      <color rgb="FFFF0000"/>
      <sz val="11"/>
      <scheme val="minor"/>
    </font>
    <font>
      <name val="Calibri"/>
      <family val="2"/>
      <color rgb="FFFF0000"/>
      <sz val="9"/>
      <scheme val="minor"/>
    </font>
    <font>
      <name val="Calibri"/>
      <family val="2"/>
      <b val="1"/>
      <sz val="10"/>
      <scheme val="minor"/>
    </font>
  </fonts>
  <fills count="5">
    <fill>
      <patternFill/>
    </fill>
    <fill>
      <patternFill patternType="gray125"/>
    </fill>
    <fill>
      <patternFill patternType="solid">
        <fgColor theme="0" tint="-0.1499984740745262"/>
        <bgColor indexed="64"/>
      </patternFill>
    </fill>
    <fill>
      <patternFill patternType="solid">
        <fgColor theme="0" tint="-0.0499893185216834"/>
        <bgColor indexed="64"/>
      </patternFill>
    </fill>
    <fill>
      <patternFill patternType="solid">
        <fgColor theme="7" tint="0.7999816888943144"/>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
      <left style="thin">
        <color indexed="64"/>
      </left>
      <right style="medium">
        <color indexed="64"/>
      </right>
      <top style="thin">
        <color indexed="64"/>
      </top>
      <bottom/>
      <diagonal/>
    </border>
    <border>
      <left/>
      <right style="medium">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s>
  <cellStyleXfs count="2">
    <xf numFmtId="0" fontId="3" fillId="0" borderId="0"/>
    <xf numFmtId="9" fontId="3" fillId="0" borderId="0"/>
  </cellStyleXfs>
  <cellXfs count="193">
    <xf numFmtId="0" fontId="0" fillId="0" borderId="0" pivotButton="0" quotePrefix="0" xfId="0"/>
    <xf numFmtId="49" fontId="7" fillId="0" borderId="1" applyAlignment="1" pivotButton="0" quotePrefix="0" xfId="0">
      <alignment horizontal="center" vertical="center"/>
    </xf>
    <xf numFmtId="1" fontId="7" fillId="0" borderId="1" applyAlignment="1" pivotButton="0" quotePrefix="0" xfId="0">
      <alignment horizontal="center" vertical="center"/>
    </xf>
    <xf numFmtId="2" fontId="7" fillId="0" borderId="1" applyAlignment="1" pivotButton="0" quotePrefix="0" xfId="0">
      <alignment horizontal="center" vertical="center"/>
    </xf>
    <xf numFmtId="9" fontId="7" fillId="0" borderId="1" applyAlignment="1" pivotButton="0" quotePrefix="0" xfId="1">
      <alignment horizontal="center" vertical="center"/>
    </xf>
    <xf numFmtId="0" fontId="7" fillId="0" borderId="1" applyAlignment="1" pivotButton="0" quotePrefix="0" xfId="0">
      <alignment horizontal="center" vertical="center"/>
    </xf>
    <xf numFmtId="49" fontId="10" fillId="3" borderId="1" applyAlignment="1" pivotButton="0" quotePrefix="0" xfId="0">
      <alignment horizontal="center" vertical="center" wrapText="1"/>
    </xf>
    <xf numFmtId="49" fontId="11" fillId="3" borderId="1" applyAlignment="1" pivotButton="0" quotePrefix="0" xfId="0">
      <alignment horizontal="center" vertical="center" wrapText="1"/>
    </xf>
    <xf numFmtId="0" fontId="7" fillId="0" borderId="3" pivotButton="0" quotePrefix="0" xfId="0"/>
    <xf numFmtId="0" fontId="7" fillId="0" borderId="5" pivotButton="0" quotePrefix="0" xfId="0"/>
    <xf numFmtId="0" fontId="0" fillId="0" borderId="12" pivotButton="0" quotePrefix="0" xfId="0"/>
    <xf numFmtId="49" fontId="11" fillId="3" borderId="11" applyAlignment="1" pivotButton="0" quotePrefix="0" xfId="0">
      <alignment horizontal="center" vertical="center" wrapText="1"/>
    </xf>
    <xf numFmtId="0" fontId="8" fillId="0" borderId="11" applyAlignment="1" pivotButton="0" quotePrefix="0" xfId="0">
      <alignment horizontal="center" vertical="center"/>
    </xf>
    <xf numFmtId="2" fontId="6" fillId="0" borderId="16" applyAlignment="1" pivotButton="0" quotePrefix="0" xfId="0">
      <alignment horizontal="center" vertical="center"/>
    </xf>
    <xf numFmtId="0" fontId="0" fillId="0" borderId="19" pivotButton="0" quotePrefix="0" xfId="0"/>
    <xf numFmtId="0" fontId="0" fillId="0" borderId="18" pivotButton="0" quotePrefix="0" xfId="0"/>
    <xf numFmtId="0" fontId="0" fillId="0" borderId="9" pivotButton="0" quotePrefix="0" xfId="0"/>
    <xf numFmtId="0" fontId="5" fillId="0" borderId="14" applyAlignment="1" pivotButton="0" quotePrefix="0" xfId="0">
      <alignment horizontal="center" vertical="top"/>
    </xf>
    <xf numFmtId="0" fontId="5" fillId="0" borderId="0" applyAlignment="1" pivotButton="0" quotePrefix="0" xfId="0">
      <alignment horizontal="center" vertical="top"/>
    </xf>
    <xf numFmtId="49" fontId="10" fillId="3" borderId="22" applyAlignment="1" pivotButton="0" quotePrefix="0" xfId="0">
      <alignment horizontal="center" vertical="center" wrapText="1"/>
    </xf>
    <xf numFmtId="0" fontId="7" fillId="0" borderId="24" pivotButton="0" quotePrefix="0" xfId="0"/>
    <xf numFmtId="0" fontId="5" fillId="0" borderId="25" applyAlignment="1" pivotButton="0" quotePrefix="0" xfId="0">
      <alignment horizontal="center" vertical="top"/>
    </xf>
    <xf numFmtId="49" fontId="8" fillId="0" borderId="20" applyAlignment="1" pivotButton="0" quotePrefix="0" xfId="0">
      <alignment horizontal="left" vertical="top" wrapText="1"/>
    </xf>
    <xf numFmtId="49" fontId="7" fillId="0" borderId="29" applyAlignment="1" pivotButton="0" quotePrefix="0" xfId="0">
      <alignment horizontal="left" vertical="top" wrapText="1"/>
    </xf>
    <xf numFmtId="49" fontId="8" fillId="0" borderId="30" applyAlignment="1" pivotButton="0" quotePrefix="0" xfId="0">
      <alignment horizontal="left" vertical="top" wrapText="1"/>
    </xf>
    <xf numFmtId="49" fontId="7" fillId="0" borderId="31" applyAlignment="1" pivotButton="0" quotePrefix="0" xfId="0">
      <alignment horizontal="left" vertical="top" wrapText="1"/>
    </xf>
    <xf numFmtId="49" fontId="8" fillId="0" borderId="30" applyAlignment="1" pivotButton="0" quotePrefix="0" xfId="0">
      <alignment horizontal="left" vertical="top"/>
    </xf>
    <xf numFmtId="49" fontId="8" fillId="0" borderId="20" applyAlignment="1" pivotButton="0" quotePrefix="0" xfId="0">
      <alignment horizontal="left" vertical="top"/>
    </xf>
    <xf numFmtId="49" fontId="7" fillId="0" borderId="32" applyAlignment="1" pivotButton="0" quotePrefix="0" xfId="0">
      <alignment horizontal="left" vertical="top" wrapText="1"/>
    </xf>
    <xf numFmtId="49" fontId="10" fillId="3" borderId="2" applyAlignment="1" pivotButton="0" quotePrefix="0" xfId="0">
      <alignment horizontal="center" vertical="center" wrapText="1"/>
    </xf>
    <xf numFmtId="49" fontId="11" fillId="3" borderId="22" applyAlignment="1" pivotButton="0" quotePrefix="0" xfId="0">
      <alignment horizontal="right" vertical="center" wrapText="1"/>
    </xf>
    <xf numFmtId="1" fontId="7" fillId="0" borderId="11" applyAlignment="1" pivotButton="0" quotePrefix="0" xfId="0">
      <alignment horizontal="center" vertical="center"/>
    </xf>
    <xf numFmtId="0" fontId="7" fillId="0" borderId="35" pivotButton="0" quotePrefix="0" xfId="0"/>
    <xf numFmtId="0" fontId="5" fillId="0" borderId="36" applyAlignment="1" pivotButton="0" quotePrefix="0" xfId="0">
      <alignment horizontal="center" vertical="top"/>
    </xf>
    <xf numFmtId="49" fontId="8" fillId="0" borderId="33" applyAlignment="1" pivotButton="0" quotePrefix="0" xfId="0">
      <alignment horizontal="left" vertical="top"/>
    </xf>
    <xf numFmtId="49" fontId="11" fillId="3" borderId="1" applyAlignment="1" pivotButton="0" quotePrefix="0" xfId="0">
      <alignment horizontal="center" vertical="center"/>
    </xf>
    <xf numFmtId="49" fontId="10" fillId="3" borderId="1" applyAlignment="1" pivotButton="0" quotePrefix="0" xfId="0">
      <alignment horizontal="center" vertical="center"/>
    </xf>
    <xf numFmtId="49" fontId="10" fillId="3" borderId="11" applyAlignment="1" pivotButton="0" quotePrefix="0" xfId="0">
      <alignment horizontal="center" vertical="center"/>
    </xf>
    <xf numFmtId="1" fontId="7" fillId="0" borderId="3" applyAlignment="1" pivotButton="0" quotePrefix="0" xfId="0">
      <alignment horizontal="right" vertical="top"/>
    </xf>
    <xf numFmtId="1" fontId="7" fillId="0" borderId="22" applyAlignment="1" pivotButton="0" quotePrefix="0" xfId="0">
      <alignment horizontal="right" vertical="top"/>
    </xf>
    <xf numFmtId="49" fontId="7" fillId="0" borderId="11" applyAlignment="1" pivotButton="0" quotePrefix="0" xfId="0">
      <alignment horizontal="left" vertical="top" wrapText="1"/>
    </xf>
    <xf numFmtId="49" fontId="7" fillId="0" borderId="1" applyAlignment="1" pivotButton="0" quotePrefix="0" xfId="0">
      <alignment horizontal="center" vertical="center" wrapText="1"/>
    </xf>
    <xf numFmtId="49" fontId="7" fillId="0" borderId="11" applyAlignment="1" pivotButton="0" quotePrefix="0" xfId="0">
      <alignment horizontal="center" vertical="center"/>
    </xf>
    <xf numFmtId="49" fontId="14" fillId="0" borderId="11" applyAlignment="1" pivotButton="0" quotePrefix="0" xfId="0">
      <alignment horizontal="center" vertical="center"/>
    </xf>
    <xf numFmtId="1" fontId="14" fillId="0" borderId="1" applyAlignment="1" pivotButton="0" quotePrefix="0" xfId="0">
      <alignment horizontal="center" vertical="center"/>
    </xf>
    <xf numFmtId="49" fontId="15" fillId="0" borderId="11" applyAlignment="1" pivotButton="0" quotePrefix="0" xfId="0">
      <alignment horizontal="left" vertical="top" wrapText="1"/>
    </xf>
    <xf numFmtId="49" fontId="15" fillId="0" borderId="2" applyAlignment="1" pivotButton="0" quotePrefix="0" xfId="0">
      <alignment horizontal="left" vertical="top" wrapText="1"/>
    </xf>
    <xf numFmtId="49" fontId="15" fillId="0" borderId="11" applyAlignment="1" pivotButton="0" quotePrefix="0" xfId="0">
      <alignment horizontal="left" vertical="top"/>
    </xf>
    <xf numFmtId="49" fontId="15" fillId="0" borderId="11" applyAlignment="1" pivotButton="0" quotePrefix="0" xfId="0">
      <alignment horizontal="left" vertical="center"/>
    </xf>
    <xf numFmtId="49" fontId="15" fillId="0" borderId="11" applyAlignment="1" pivotButton="0" quotePrefix="0" xfId="0">
      <alignment horizontal="left" vertical="center" wrapText="1"/>
    </xf>
    <xf numFmtId="49" fontId="15" fillId="0" borderId="2" applyAlignment="1" pivotButton="0" quotePrefix="0" xfId="0">
      <alignment horizontal="left" vertical="center"/>
    </xf>
    <xf numFmtId="14" fontId="15" fillId="0" borderId="1" applyAlignment="1" pivotButton="0" quotePrefix="0" xfId="0">
      <alignment horizontal="center" vertical="top"/>
    </xf>
    <xf numFmtId="49" fontId="14" fillId="0" borderId="29" applyAlignment="1" pivotButton="0" quotePrefix="0" xfId="0">
      <alignment horizontal="left" vertical="top" wrapText="1"/>
    </xf>
    <xf numFmtId="0" fontId="18" fillId="0" borderId="0" applyAlignment="1" pivotButton="0" quotePrefix="0" xfId="0">
      <alignment horizontal="left" vertical="center"/>
    </xf>
    <xf numFmtId="0" fontId="9" fillId="2" borderId="22" applyAlignment="1" pivotButton="0" quotePrefix="0" xfId="0">
      <alignment horizontal="center" vertical="center" wrapText="1"/>
    </xf>
    <xf numFmtId="0" fontId="9" fillId="2" borderId="11" applyAlignment="1" pivotButton="0" quotePrefix="0" xfId="0">
      <alignment horizontal="center" vertical="center" wrapText="1"/>
    </xf>
    <xf numFmtId="17" fontId="9" fillId="2" borderId="1" applyAlignment="1" pivotButton="0" quotePrefix="0" xfId="0">
      <alignment horizontal="center" vertical="center"/>
    </xf>
    <xf numFmtId="17" fontId="9" fillId="2" borderId="3" applyAlignment="1" pivotButton="0" quotePrefix="0" xfId="0">
      <alignment horizontal="center" vertical="center"/>
    </xf>
    <xf numFmtId="17" fontId="9" fillId="2" borderId="2" applyAlignment="1" pivotButton="0" quotePrefix="0" xfId="0">
      <alignment horizontal="center" vertical="center"/>
    </xf>
    <xf numFmtId="0" fontId="13" fillId="0" borderId="22" applyAlignment="1" pivotButton="0" quotePrefix="0" xfId="0">
      <alignment horizontal="right" vertical="top"/>
    </xf>
    <xf numFmtId="0" fontId="0" fillId="0" borderId="22" applyAlignment="1" pivotButton="0" quotePrefix="0" xfId="0">
      <alignment horizontal="center" vertical="center"/>
    </xf>
    <xf numFmtId="0" fontId="0" fillId="0" borderId="4" applyAlignment="1" pivotButton="0" quotePrefix="0" xfId="0">
      <alignment horizontal="center" vertical="center"/>
    </xf>
    <xf numFmtId="0" fontId="0" fillId="0" borderId="1" applyAlignment="1" pivotButton="0" quotePrefix="0" xfId="0">
      <alignment horizontal="center" vertical="center"/>
    </xf>
    <xf numFmtId="0" fontId="0" fillId="0" borderId="2" applyAlignment="1" pivotButton="0" quotePrefix="0" xfId="0">
      <alignment horizontal="center" vertical="center"/>
    </xf>
    <xf numFmtId="0" fontId="0" fillId="0" borderId="11" applyAlignment="1" pivotButton="0" quotePrefix="0" xfId="0">
      <alignment horizontal="center" vertical="center"/>
    </xf>
    <xf numFmtId="0" fontId="0" fillId="0" borderId="45" applyAlignment="1" pivotButton="0" quotePrefix="0" xfId="0">
      <alignment horizontal="center" vertical="center"/>
    </xf>
    <xf numFmtId="0" fontId="0" fillId="0" borderId="7" applyAlignment="1" pivotButton="0" quotePrefix="0" xfId="0">
      <alignment horizontal="center" vertical="center"/>
    </xf>
    <xf numFmtId="0" fontId="0" fillId="0" borderId="46" applyAlignment="1" pivotButton="0" quotePrefix="0" xfId="0">
      <alignment horizontal="center" vertical="center"/>
    </xf>
    <xf numFmtId="0" fontId="0" fillId="0" borderId="47" applyAlignment="1" pivotButton="0" quotePrefix="0" xfId="0">
      <alignment horizontal="center" vertical="center"/>
    </xf>
    <xf numFmtId="0" fontId="0" fillId="0" borderId="39" pivotButton="0" quotePrefix="0" xfId="0"/>
    <xf numFmtId="1" fontId="16" fillId="4" borderId="23" applyAlignment="1" pivotButton="0" quotePrefix="0" xfId="0">
      <alignment horizontal="center" vertical="center"/>
    </xf>
    <xf numFmtId="1" fontId="16" fillId="4" borderId="13" applyAlignment="1" pivotButton="0" quotePrefix="0" xfId="0">
      <alignment horizontal="center" vertical="center"/>
    </xf>
    <xf numFmtId="1" fontId="19" fillId="4" borderId="29" applyAlignment="1" pivotButton="0" quotePrefix="0" xfId="0">
      <alignment horizontal="center" vertical="center"/>
    </xf>
    <xf numFmtId="0" fontId="0" fillId="0" borderId="22" pivotButton="0" quotePrefix="0" xfId="0"/>
    <xf numFmtId="0" fontId="0" fillId="0" borderId="1" pivotButton="0" quotePrefix="0" xfId="0"/>
    <xf numFmtId="0" fontId="0" fillId="0" borderId="11" pivotButton="0" quotePrefix="0" xfId="0"/>
    <xf numFmtId="0" fontId="0" fillId="0" borderId="2" pivotButton="0" quotePrefix="0" xfId="0"/>
    <xf numFmtId="0" fontId="13" fillId="2" borderId="22" applyAlignment="1" pivotButton="0" quotePrefix="0" xfId="0">
      <alignment horizontal="center" textRotation="90" wrapText="1"/>
    </xf>
    <xf numFmtId="0" fontId="13" fillId="2" borderId="4" applyAlignment="1" pivotButton="0" quotePrefix="0" xfId="0">
      <alignment horizontal="center" textRotation="90" wrapText="1"/>
    </xf>
    <xf numFmtId="0" fontId="13" fillId="2" borderId="1" applyAlignment="1" pivotButton="0" quotePrefix="0" xfId="0">
      <alignment horizontal="center" textRotation="90" wrapText="1"/>
    </xf>
    <xf numFmtId="0" fontId="13" fillId="2" borderId="11" applyAlignment="1" pivotButton="0" quotePrefix="0" xfId="0">
      <alignment horizontal="center" textRotation="90" wrapText="1"/>
    </xf>
    <xf numFmtId="14" fontId="15" fillId="0" borderId="4" applyAlignment="1" pivotButton="0" quotePrefix="0" xfId="0">
      <alignment horizontal="center" vertical="top"/>
    </xf>
    <xf numFmtId="14" fontId="15" fillId="0" borderId="2" applyAlignment="1" pivotButton="0" quotePrefix="0" xfId="0">
      <alignment horizontal="center" vertical="top"/>
    </xf>
    <xf numFmtId="0" fontId="16" fillId="2" borderId="1" applyAlignment="1" pivotButton="0" quotePrefix="0" xfId="0">
      <alignment horizontal="center" vertical="center" wrapText="1"/>
    </xf>
    <xf numFmtId="0" fontId="16" fillId="0" borderId="1" applyAlignment="1" pivotButton="0" quotePrefix="0" xfId="0">
      <alignment horizontal="center" vertical="center"/>
    </xf>
    <xf numFmtId="0" fontId="16" fillId="0" borderId="38" applyAlignment="1" pivotButton="0" quotePrefix="0" xfId="0">
      <alignment horizontal="left" vertical="center"/>
    </xf>
    <xf numFmtId="49" fontId="0" fillId="0" borderId="1" applyAlignment="1" pivotButton="0" quotePrefix="0" xfId="0">
      <alignment horizontal="left" vertical="center" wrapText="1"/>
    </xf>
    <xf numFmtId="0" fontId="16" fillId="0" borderId="1" applyAlignment="1" pivotButton="0" quotePrefix="0" xfId="0">
      <alignment horizontal="right" vertical="top"/>
    </xf>
    <xf numFmtId="0" fontId="16" fillId="0" borderId="1" applyAlignment="1" pivotButton="0" quotePrefix="0" xfId="0">
      <alignment horizontal="left" vertical="top" wrapText="1"/>
    </xf>
    <xf numFmtId="0" fontId="2" fillId="0" borderId="1" applyAlignment="1" pivotButton="0" quotePrefix="0" xfId="0">
      <alignment horizontal="right" vertical="top"/>
    </xf>
    <xf numFmtId="0" fontId="0" fillId="0" borderId="1" applyAlignment="1" pivotButton="0" quotePrefix="0" xfId="0">
      <alignment horizontal="left" vertical="top" wrapText="1"/>
    </xf>
    <xf numFmtId="0" fontId="19" fillId="0" borderId="0" applyAlignment="1" pivotButton="0" quotePrefix="0" xfId="0">
      <alignment horizontal="right" vertical="top" wrapText="1"/>
    </xf>
    <xf numFmtId="164" fontId="16" fillId="0" borderId="1" applyAlignment="1" pivotButton="0" quotePrefix="0" xfId="0">
      <alignment horizontal="center" vertical="center" wrapText="1"/>
    </xf>
    <xf numFmtId="164" fontId="0" fillId="0" borderId="1" applyAlignment="1" pivotButton="0" quotePrefix="0" xfId="0">
      <alignment horizontal="center" vertical="center"/>
    </xf>
    <xf numFmtId="164" fontId="20" fillId="0" borderId="1" applyAlignment="1" pivotButton="0" quotePrefix="0" xfId="0">
      <alignment horizontal="center" vertical="center"/>
    </xf>
    <xf numFmtId="164" fontId="16" fillId="0" borderId="1" applyAlignment="1" pivotButton="0" quotePrefix="0" xfId="0">
      <alignment horizontal="center" vertical="top"/>
    </xf>
    <xf numFmtId="164" fontId="16" fillId="4" borderId="48" applyAlignment="1" pivotButton="0" quotePrefix="0" xfId="0">
      <alignment horizontal="center" vertical="center"/>
    </xf>
    <xf numFmtId="0" fontId="13" fillId="0" borderId="45" applyAlignment="1" pivotButton="0" quotePrefix="0" xfId="0">
      <alignment horizontal="right" vertical="top"/>
    </xf>
    <xf numFmtId="49" fontId="7" fillId="0" borderId="16" applyAlignment="1" pivotButton="0" quotePrefix="0" xfId="0">
      <alignment horizontal="left" vertical="top" wrapText="1"/>
    </xf>
    <xf numFmtId="0" fontId="0" fillId="0" borderId="45" pivotButton="0" quotePrefix="0" xfId="0"/>
    <xf numFmtId="0" fontId="0" fillId="0" borderId="46" pivotButton="0" quotePrefix="0" xfId="0"/>
    <xf numFmtId="0" fontId="0" fillId="0" borderId="47" pivotButton="0" quotePrefix="0" xfId="0"/>
    <xf numFmtId="0" fontId="0" fillId="0" borderId="16" pivotButton="0" quotePrefix="0" xfId="0"/>
    <xf numFmtId="0" fontId="1" fillId="0" borderId="1" applyAlignment="1" pivotButton="0" quotePrefix="0" xfId="0">
      <alignment horizontal="right" vertical="top"/>
    </xf>
    <xf numFmtId="49" fontId="15" fillId="0" borderId="1" applyAlignment="1" pivotButton="0" quotePrefix="0" xfId="0">
      <alignment horizontal="center" vertical="top"/>
    </xf>
    <xf numFmtId="49" fontId="15" fillId="0" borderId="1" applyAlignment="1" pivotButton="0" quotePrefix="0" xfId="0">
      <alignment horizontal="center" vertical="center"/>
    </xf>
    <xf numFmtId="14" fontId="15" fillId="0" borderId="1" applyAlignment="1" pivotButton="0" quotePrefix="0" xfId="0">
      <alignment horizontal="center" vertical="center"/>
    </xf>
    <xf numFmtId="49" fontId="7" fillId="0" borderId="1" applyAlignment="1" pivotButton="0" quotePrefix="0" xfId="0">
      <alignment horizontal="left" vertical="top"/>
    </xf>
    <xf numFmtId="49" fontId="7" fillId="0" borderId="22" applyAlignment="1" pivotButton="0" quotePrefix="0" xfId="0">
      <alignment horizontal="left" vertical="top" wrapText="1"/>
    </xf>
    <xf numFmtId="49" fontId="7" fillId="0" borderId="1" applyAlignment="1" pivotButton="0" quotePrefix="0" xfId="0">
      <alignment horizontal="left" vertical="top" wrapText="1"/>
    </xf>
    <xf numFmtId="49" fontId="7" fillId="0" borderId="29" applyAlignment="1" pivotButton="0" quotePrefix="0" xfId="0">
      <alignment vertical="top" wrapText="1"/>
    </xf>
    <xf numFmtId="0" fontId="5" fillId="0" borderId="14" applyAlignment="1" pivotButton="0" quotePrefix="0" xfId="0">
      <alignment horizontal="center" vertical="top"/>
    </xf>
    <xf numFmtId="0" fontId="0" fillId="0" borderId="14" pivotButton="0" quotePrefix="0" xfId="0"/>
    <xf numFmtId="49" fontId="7" fillId="0" borderId="29" applyAlignment="1" pivotButton="0" quotePrefix="0" xfId="0">
      <alignment horizontal="left" vertical="top"/>
    </xf>
    <xf numFmtId="0" fontId="0" fillId="0" borderId="37" pivotButton="0" quotePrefix="0" xfId="0"/>
    <xf numFmtId="49" fontId="7" fillId="0" borderId="28" applyAlignment="1" pivotButton="0" quotePrefix="0" xfId="0">
      <alignment vertical="top" wrapText="1"/>
    </xf>
    <xf numFmtId="0" fontId="0" fillId="0" borderId="5" pivotButton="0" quotePrefix="0" xfId="0"/>
    <xf numFmtId="0" fontId="0" fillId="0" borderId="35" pivotButton="0" quotePrefix="0" xfId="0"/>
    <xf numFmtId="0" fontId="0" fillId="0" borderId="12" pivotButton="0" quotePrefix="0" xfId="0"/>
    <xf numFmtId="0" fontId="0" fillId="0" borderId="0" pivotButton="0" quotePrefix="0" xfId="0"/>
    <xf numFmtId="0" fontId="0" fillId="0" borderId="19" pivotButton="0" quotePrefix="0" xfId="0"/>
    <xf numFmtId="0" fontId="0" fillId="0" borderId="39" pivotButton="0" quotePrefix="0" xfId="0"/>
    <xf numFmtId="0" fontId="0" fillId="0" borderId="9" pivotButton="0" quotePrefix="0" xfId="0"/>
    <xf numFmtId="0" fontId="0" fillId="0" borderId="36" pivotButton="0" quotePrefix="0" xfId="0"/>
    <xf numFmtId="0" fontId="9" fillId="2" borderId="17" applyAlignment="1" pivotButton="0" quotePrefix="0" xfId="0">
      <alignment horizontal="left" vertical="center"/>
    </xf>
    <xf numFmtId="0" fontId="0" fillId="0" borderId="15" pivotButton="0" quotePrefix="0" xfId="0"/>
    <xf numFmtId="0" fontId="0" fillId="0" borderId="17" pivotButton="0" quotePrefix="0" xfId="0"/>
    <xf numFmtId="49" fontId="9" fillId="2" borderId="4" applyAlignment="1" pivotButton="0" quotePrefix="0" xfId="0">
      <alignment horizontal="left" vertical="center"/>
    </xf>
    <xf numFmtId="0" fontId="0" fillId="0" borderId="3" pivotButton="0" quotePrefix="0" xfId="0"/>
    <xf numFmtId="0" fontId="0" fillId="0" borderId="4" pivotButton="0" quotePrefix="0" xfId="0"/>
    <xf numFmtId="49" fontId="7" fillId="0" borderId="22" applyAlignment="1" pivotButton="0" quotePrefix="0" xfId="0">
      <alignment horizontal="left" vertical="center" wrapText="1"/>
    </xf>
    <xf numFmtId="49" fontId="9" fillId="2" borderId="22" applyAlignment="1" pivotButton="0" quotePrefix="0" xfId="0">
      <alignment horizontal="left" vertical="center"/>
    </xf>
    <xf numFmtId="49" fontId="12" fillId="0" borderId="22" applyAlignment="1" pivotButton="0" quotePrefix="0" xfId="0">
      <alignment horizontal="left" vertical="top" wrapText="1"/>
    </xf>
    <xf numFmtId="49" fontId="7" fillId="0" borderId="22" applyAlignment="1" pivotButton="0" quotePrefix="0" xfId="0">
      <alignment horizontal="left" vertical="center"/>
    </xf>
    <xf numFmtId="49" fontId="9" fillId="0" borderId="7" applyAlignment="1" pivotButton="0" quotePrefix="0" xfId="0">
      <alignment horizontal="left" vertical="center"/>
    </xf>
    <xf numFmtId="0" fontId="0" fillId="0" borderId="7" pivotButton="0" quotePrefix="0" xfId="0"/>
    <xf numFmtId="49" fontId="11" fillId="3" borderId="1" applyAlignment="1" pivotButton="0" quotePrefix="0" xfId="0">
      <alignment horizontal="center" vertical="center" wrapText="1"/>
    </xf>
    <xf numFmtId="49" fontId="9" fillId="2" borderId="24" applyAlignment="1" pivotButton="0" quotePrefix="0" xfId="0">
      <alignment horizontal="left" vertical="center"/>
    </xf>
    <xf numFmtId="49" fontId="15" fillId="0" borderId="1" applyAlignment="1" pivotButton="0" quotePrefix="0" xfId="0">
      <alignment horizontal="left" vertical="top" wrapText="1"/>
    </xf>
    <xf numFmtId="49" fontId="22" fillId="0" borderId="6" applyAlignment="1" pivotButton="0" quotePrefix="0" xfId="0">
      <alignment horizontal="left" vertical="top" wrapText="1"/>
    </xf>
    <xf numFmtId="0" fontId="0" fillId="0" borderId="6" pivotButton="0" quotePrefix="0" xfId="0"/>
    <xf numFmtId="49" fontId="8" fillId="0" borderId="33" applyAlignment="1" pivotButton="0" quotePrefix="0" xfId="0">
      <alignment horizontal="left" vertical="top"/>
    </xf>
    <xf numFmtId="0" fontId="0" fillId="0" borderId="33" pivotButton="0" quotePrefix="0" xfId="0"/>
    <xf numFmtId="49" fontId="22" fillId="0" borderId="10" applyAlignment="1" pivotButton="0" quotePrefix="0" xfId="0">
      <alignment horizontal="left" vertical="top" wrapText="1"/>
    </xf>
    <xf numFmtId="0" fontId="0" fillId="0" borderId="44" pivotButton="0" quotePrefix="0" xfId="0"/>
    <xf numFmtId="49" fontId="7" fillId="0" borderId="2" applyAlignment="1" pivotButton="0" quotePrefix="0" xfId="0">
      <alignment vertical="top" wrapText="1"/>
    </xf>
    <xf numFmtId="49" fontId="4" fillId="0" borderId="26" applyAlignment="1" pivotButton="0" quotePrefix="0" xfId="0">
      <alignment horizontal="center" vertical="center" wrapText="1"/>
    </xf>
    <xf numFmtId="0" fontId="0" fillId="0" borderId="51" pivotButton="0" quotePrefix="0" xfId="0"/>
    <xf numFmtId="0" fontId="0" fillId="0" borderId="52" pivotButton="0" quotePrefix="0" xfId="0"/>
    <xf numFmtId="49" fontId="7" fillId="0" borderId="8" applyAlignment="1" pivotButton="0" quotePrefix="0" xfId="0">
      <alignment horizontal="left" vertical="top"/>
    </xf>
    <xf numFmtId="0" fontId="0" fillId="0" borderId="18" pivotButton="0" quotePrefix="0" xfId="0"/>
    <xf numFmtId="0" fontId="0" fillId="0" borderId="50" pivotButton="0" quotePrefix="0" xfId="0"/>
    <xf numFmtId="0" fontId="0" fillId="0" borderId="53" pivotButton="0" quotePrefix="0" xfId="0"/>
    <xf numFmtId="0" fontId="0" fillId="0" borderId="38" pivotButton="0" quotePrefix="0" xfId="0"/>
    <xf numFmtId="49" fontId="10" fillId="3" borderId="22" applyAlignment="1" pivotButton="0" quotePrefix="0" xfId="0">
      <alignment horizontal="left" vertical="center"/>
    </xf>
    <xf numFmtId="0" fontId="5" fillId="0" borderId="14" applyAlignment="1" pivotButton="0" quotePrefix="0" xfId="0">
      <alignment horizontal="center" vertical="center"/>
    </xf>
    <xf numFmtId="49" fontId="7" fillId="0" borderId="4" applyAlignment="1" pivotButton="0" quotePrefix="0" xfId="0">
      <alignment horizontal="left" vertical="center"/>
    </xf>
    <xf numFmtId="49" fontId="9" fillId="2" borderId="27" applyAlignment="1" pivotButton="0" quotePrefix="0" xfId="0">
      <alignment horizontal="left" vertical="top"/>
    </xf>
    <xf numFmtId="0" fontId="0" fillId="0" borderId="34" pivotButton="0" quotePrefix="0" xfId="0"/>
    <xf numFmtId="49" fontId="9" fillId="2" borderId="27" applyAlignment="1" pivotButton="0" quotePrefix="0" xfId="0">
      <alignment horizontal="left" vertical="center"/>
    </xf>
    <xf numFmtId="0" fontId="9" fillId="2" borderId="21" applyAlignment="1" pivotButton="0" quotePrefix="0" xfId="0">
      <alignment horizontal="left" vertical="center"/>
    </xf>
    <xf numFmtId="0" fontId="0" fillId="0" borderId="42" pivotButton="0" quotePrefix="0" xfId="0"/>
    <xf numFmtId="49" fontId="7" fillId="0" borderId="4" applyAlignment="1" pivotButton="0" quotePrefix="0" xfId="0">
      <alignment vertical="top" wrapText="1"/>
    </xf>
    <xf numFmtId="49" fontId="7" fillId="0" borderId="27" applyAlignment="1" pivotButton="0" quotePrefix="0" xfId="0">
      <alignment vertical="top" wrapText="1"/>
    </xf>
    <xf numFmtId="0" fontId="0" fillId="0" borderId="40" pivotButton="0" quotePrefix="0" xfId="0"/>
    <xf numFmtId="0" fontId="0" fillId="0" borderId="41" pivotButton="0" quotePrefix="0" xfId="0"/>
    <xf numFmtId="49" fontId="10" fillId="3" borderId="1" applyAlignment="1" pivotButton="0" quotePrefix="0" xfId="0">
      <alignment horizontal="left" vertical="center"/>
    </xf>
    <xf numFmtId="49" fontId="8" fillId="0" borderId="21" applyAlignment="1" pivotButton="0" quotePrefix="0" xfId="0">
      <alignment horizontal="left" vertical="top"/>
    </xf>
    <xf numFmtId="0" fontId="0" fillId="0" borderId="43" pivotButton="0" quotePrefix="0" xfId="0"/>
    <xf numFmtId="49" fontId="9" fillId="2" borderId="26" applyAlignment="1" pivotButton="0" quotePrefix="0" xfId="0">
      <alignment horizontal="left" vertical="center"/>
    </xf>
    <xf numFmtId="49" fontId="7" fillId="0" borderId="11" applyAlignment="1" pivotButton="0" quotePrefix="0" xfId="0">
      <alignment vertical="top" wrapText="1"/>
    </xf>
    <xf numFmtId="0" fontId="9" fillId="2" borderId="26" applyAlignment="1" pivotButton="0" quotePrefix="0" xfId="0">
      <alignment horizontal="left" vertical="center"/>
    </xf>
    <xf numFmtId="0" fontId="5" fillId="0" borderId="5" applyAlignment="1" pivotButton="0" quotePrefix="0" xfId="0">
      <alignment horizontal="center" vertical="top"/>
    </xf>
    <xf numFmtId="49" fontId="7" fillId="0" borderId="24" applyAlignment="1" pivotButton="0" quotePrefix="0" xfId="0">
      <alignment vertical="top" wrapText="1"/>
    </xf>
    <xf numFmtId="49" fontId="7" fillId="0" borderId="54" applyAlignment="1" pivotButton="0" quotePrefix="0" xfId="0">
      <alignment vertical="top" wrapText="1"/>
    </xf>
    <xf numFmtId="49" fontId="22" fillId="0" borderId="22" applyAlignment="1" pivotButton="0" quotePrefix="0" xfId="0">
      <alignment horizontal="left" vertical="top" wrapText="1"/>
    </xf>
    <xf numFmtId="49" fontId="7" fillId="0" borderId="9" applyAlignment="1" pivotButton="0" quotePrefix="0" xfId="0">
      <alignment horizontal="right" vertical="top" wrapText="1"/>
    </xf>
    <xf numFmtId="49" fontId="22" fillId="0" borderId="11" applyAlignment="1" pivotButton="0" quotePrefix="0" xfId="0">
      <alignment horizontal="left" vertical="top" wrapText="1"/>
    </xf>
    <xf numFmtId="49" fontId="11" fillId="3" borderId="4" applyAlignment="1" pivotButton="0" quotePrefix="0" xfId="0">
      <alignment horizontal="left" vertical="center"/>
    </xf>
    <xf numFmtId="0" fontId="9" fillId="2" borderId="21" applyAlignment="1" pivotButton="0" quotePrefix="0" xfId="0">
      <alignment horizontal="center" vertical="center"/>
    </xf>
    <xf numFmtId="0" fontId="9" fillId="2" borderId="21" applyAlignment="1" pivotButton="0" quotePrefix="0" xfId="0">
      <alignment horizontal="center" vertical="center" wrapText="1"/>
    </xf>
    <xf numFmtId="49" fontId="21" fillId="0" borderId="3" applyAlignment="1" pivotButton="0" quotePrefix="0" xfId="0">
      <alignment horizontal="left" vertical="center"/>
    </xf>
    <xf numFmtId="0" fontId="9" fillId="2" borderId="10" applyAlignment="1" pivotButton="0" quotePrefix="0" xfId="0">
      <alignment horizontal="center" vertical="center"/>
    </xf>
    <xf numFmtId="0" fontId="16" fillId="0" borderId="49" applyAlignment="1" pivotButton="0" quotePrefix="0" xfId="0">
      <alignment horizontal="right" vertical="center"/>
    </xf>
    <xf numFmtId="0" fontId="0" fillId="0" borderId="49" pivotButton="0" quotePrefix="0" xfId="0"/>
    <xf numFmtId="0" fontId="17" fillId="0" borderId="0" applyAlignment="1" pivotButton="0" quotePrefix="0" xfId="0">
      <alignment horizontal="left" vertical="center"/>
    </xf>
    <xf numFmtId="49" fontId="0" fillId="0" borderId="38" pivotButton="0" quotePrefix="0" xfId="0"/>
    <xf numFmtId="0" fontId="9" fillId="2" borderId="8" applyAlignment="1" pivotButton="0" quotePrefix="0" xfId="0">
      <alignment horizontal="center" vertical="center"/>
    </xf>
    <xf numFmtId="0" fontId="16" fillId="2" borderId="1" applyAlignment="1" pivotButton="0" quotePrefix="0" xfId="0">
      <alignment horizontal="center" vertical="center"/>
    </xf>
    <xf numFmtId="49" fontId="21" fillId="0" borderId="38" applyAlignment="1" pivotButton="0" quotePrefix="0" xfId="0">
      <alignment horizontal="left" vertical="center"/>
    </xf>
    <xf numFmtId="164" fontId="19" fillId="0" borderId="5" applyAlignment="1" pivotButton="0" quotePrefix="0" xfId="0">
      <alignment horizontal="center" vertical="top"/>
    </xf>
    <xf numFmtId="0" fontId="0" fillId="0" borderId="48" pivotButton="0" quotePrefix="0" xfId="0"/>
    <xf numFmtId="0" fontId="16" fillId="0" borderId="0" applyAlignment="1" pivotButton="0" quotePrefix="0" xfId="0">
      <alignment horizontal="right" vertical="center"/>
    </xf>
  </cellXfs>
  <cellStyles count="2">
    <cellStyle name="Обычный" xfId="0" builtinId="0"/>
    <cellStyle name="Процентный"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B1:O40"/>
  <sheetViews>
    <sheetView topLeftCell="C1" zoomScaleNormal="100" workbookViewId="0">
      <selection activeCell="H29" sqref="H29:N29"/>
    </sheetView>
  </sheetViews>
  <sheetFormatPr baseColWidth="10" defaultColWidth="8.83203125" defaultRowHeight="15"/>
  <cols>
    <col width="20.6640625" customWidth="1" style="119" min="2" max="7"/>
    <col width="5.6640625" customWidth="1" style="119" min="8" max="8"/>
    <col width="20.6640625" customWidth="1" style="119" min="9" max="14"/>
  </cols>
  <sheetData>
    <row r="1" ht="15.75" customHeight="1" s="119" thickBot="1">
      <c r="B1" s="176" t="inlineStr">
        <is>
          <t>Карточка А3. Утверждено решением Совета директоров 11.08.2023 г.</t>
        </is>
      </c>
      <c r="C1" s="122" t="n"/>
      <c r="D1" s="122" t="n"/>
      <c r="E1" s="122" t="n"/>
      <c r="F1" s="122" t="n"/>
      <c r="G1" s="122" t="n"/>
      <c r="H1" s="122" t="n"/>
      <c r="I1" s="122" t="n"/>
      <c r="J1" s="122" t="n"/>
      <c r="K1" s="122" t="n"/>
      <c r="L1" s="122" t="n"/>
      <c r="M1" s="122" t="n"/>
      <c r="N1" s="122" t="n"/>
    </row>
    <row r="2" ht="30" customHeight="1" s="119" thickBot="1">
      <c r="B2" s="146" t="inlineStr">
        <is>
          <t>ПРОЕКТ 
А3</t>
        </is>
      </c>
      <c r="C2" s="22" t="inlineStr">
        <is>
          <t>Улучшение процессов</t>
        </is>
      </c>
      <c r="D2" s="23" t="n"/>
      <c r="E2" s="167" t="inlineStr">
        <is>
          <t>Название проекта:</t>
        </is>
      </c>
      <c r="F2" s="149" t="inlineStr">
        <is>
          <t>Автоматизация нормирования трудозатрат
на производственные операции</t>
        </is>
      </c>
      <c r="G2" s="150" t="n"/>
      <c r="H2" s="150" t="n"/>
      <c r="I2" s="150" t="n"/>
      <c r="J2" s="150" t="n"/>
      <c r="K2" s="150" t="n"/>
      <c r="L2" s="151" t="n"/>
      <c r="M2" s="139" t="inlineStr">
        <is>
          <t>Дата начала:
01.03.2026 г.</t>
        </is>
      </c>
      <c r="N2" s="143" t="inlineStr">
        <is>
          <t>Дата окончания:
31.12.2026 г.</t>
        </is>
      </c>
    </row>
    <row r="3" ht="30" customHeight="1" s="119" thickBot="1">
      <c r="B3" s="147" t="n"/>
      <c r="C3" s="22" t="inlineStr">
        <is>
          <t>Присваивается Проектным офисом</t>
        </is>
      </c>
      <c r="D3" s="52" t="inlineStr">
        <is>
          <t>Присваивается Проектным офисом</t>
        </is>
      </c>
      <c r="E3" s="168" t="n"/>
      <c r="F3" s="152" t="n"/>
      <c r="G3" s="153" t="n"/>
      <c r="H3" s="153" t="n"/>
      <c r="I3" s="153" t="n"/>
      <c r="J3" s="153" t="n"/>
      <c r="K3" s="153" t="n"/>
      <c r="L3" s="140" t="n"/>
      <c r="M3" s="140" t="n"/>
      <c r="N3" s="144" t="n"/>
    </row>
    <row r="4" ht="30" customHeight="1" s="119" thickBot="1">
      <c r="B4" s="147" t="n"/>
      <c r="C4" s="22" t="inlineStr">
        <is>
          <t>Заказчик:</t>
        </is>
      </c>
      <c r="D4" s="110" t="inlineStr">
        <is>
          <t>Генеральный директор
ООО «Технопарк Импульс»</t>
        </is>
      </c>
      <c r="E4" s="27" t="inlineStr">
        <is>
          <t>Виноградов И.А.</t>
        </is>
      </c>
      <c r="F4" s="113" t="inlineStr">
        <is>
          <t>Виноградов И.А.</t>
        </is>
      </c>
      <c r="G4" s="114" t="n"/>
      <c r="H4" s="141" t="inlineStr">
        <is>
          <t>Ванюков В. (инженер-конструктор)</t>
        </is>
      </c>
      <c r="I4" s="142" t="n"/>
      <c r="J4" s="23" t="n"/>
      <c r="K4" s="141" t="inlineStr">
        <is>
          <t>Генеральный директор</t>
        </is>
      </c>
      <c r="L4" s="28" t="n"/>
      <c r="M4" s="175" t="inlineStr">
        <is>
          <t>Трудозатраты:
80 чел./дн.</t>
        </is>
      </c>
      <c r="N4" s="177" t="inlineStr">
        <is>
          <t>Бюджет:
~128 000 руб.</t>
        </is>
      </c>
    </row>
    <row r="5" ht="30" customHeight="1" s="119" thickBot="1">
      <c r="B5" s="148" t="n"/>
      <c r="C5" s="24" t="inlineStr">
        <is>
          <t>Исполнитель (СБЕ, подразделение):</t>
        </is>
      </c>
      <c r="D5" s="25" t="inlineStr">
        <is>
          <t>Отдел управления качеством</t>
        </is>
      </c>
      <c r="E5" s="26" t="inlineStr">
        <is>
          <t>Отдел управления качеством</t>
        </is>
      </c>
      <c r="F5" s="174" t="inlineStr">
        <is>
          <t>Узун Л.И. (руководитель управления качеством, ведущий разработчик), Егоров П.А. (бизнес-аналитик), Ванюков В. (инженер-конструктор)</t>
        </is>
      </c>
      <c r="G5" s="122" t="n"/>
      <c r="H5" s="122" t="n"/>
      <c r="I5" s="122" t="n"/>
      <c r="J5" s="122" t="n"/>
      <c r="K5" s="122" t="n"/>
      <c r="L5" s="122" t="n"/>
      <c r="M5" s="168" t="n"/>
      <c r="N5" s="144" t="n"/>
    </row>
    <row r="6" ht="15" customHeight="1" s="119">
      <c r="B6" s="169" t="inlineStr">
        <is>
          <t>ОПИСАНИЕ ПРОБЛЕМНОЙ СИТУАЦИИ (как есть)</t>
        </is>
      </c>
      <c r="C6" s="125" t="n"/>
      <c r="D6" s="125" t="n"/>
      <c r="E6" s="125" t="n"/>
      <c r="F6" s="125" t="n"/>
      <c r="G6" s="126" t="n"/>
      <c r="H6" s="171" t="inlineStr">
        <is>
          <t>ПРЕДЛАГАЕМЫЕ РЕШЕНИЯ</t>
        </is>
      </c>
      <c r="I6" s="125" t="n"/>
      <c r="J6" s="125" t="n"/>
      <c r="K6" s="125" t="n"/>
      <c r="L6" s="125" t="n"/>
      <c r="M6" s="125" t="n"/>
      <c r="N6" s="126" t="n"/>
      <c r="O6" s="118" t="n"/>
    </row>
    <row r="7" ht="162" customHeight="1" s="119">
      <c r="B7" s="173" t="inlineStr">
        <is>
          <t>На предприятии ООО «Технопарк Импульс» нормирование трудозатрат на производственные операции ведётся на основе исторически сложившихся норм, зафиксированных в маршрутных картах. Нормировщик в штате отсутствует.
Основные проблемы:
• Нормы времени в маршрутных картах некорректны: исторически завышены, что приводит к искажению расчёта заработной платы и делает производственное планирование невозможным (фактическая выработка сотрудников по данным системы достигает 200% нормы)
• Нет возможности корректно оценить эффективность работы сотрудников
• Отсутствует единая структурированная база типовых технологических маршрутов
• Чертежи создаются без единого стандарта: у каждого конструктора свои правила, требования нередко завышены, что влечёт лишние операции и затраты
• Цикл «чертёж → маршрутная карта → нормы → 1С» не автоматизирован
• Нет автоматической проверки соответствия чертежей требованиям ГОСТ</t>
        </is>
      </c>
      <c r="C7" s="128" t="n"/>
      <c r="D7" s="128" t="n"/>
      <c r="E7" s="128" t="n"/>
      <c r="F7" s="128" t="n"/>
      <c r="G7" s="128" t="n"/>
      <c r="H7" s="163" t="inlineStr">
        <is>
          <t>Комплексная автоматизация процессов от чертежа до корректных норм в 1С с использованием технологий ИИ (Claude AI).
Ключевые решения:
• Веб-приложение с конвейером 6 этапов: извлечение фактов из чертежа → фильтрация маршрутов → выбор маршрута → подбор оборудования → расчёт норм → автоматическая валидация
• Единый каталог типовых маршрутов (231 шт.) и оборудования (239 ед.) предприятия
• Два режима: с готовой маршрутной картой (Режим А) и автоподбор маршрута по чертежу (Режим Б)
• Автоматический анализ чертежей: выявление нарушений ГОСТ и завышенных требований
• Интеграция с 1С через выгрузку в Excel — корректные нормы автоматически загружаются в систему
• Разработка единого стандарта оформления чертежей для конструкторского отдела
• Развёртывание на сервере для совместного доступа 10–12 пользователей предприятия</t>
        </is>
      </c>
      <c r="I7" s="128" t="n"/>
      <c r="J7" s="128" t="n"/>
      <c r="K7" s="128" t="n"/>
      <c r="L7" s="128" t="n"/>
      <c r="M7" s="128" t="n"/>
      <c r="N7" s="158" t="n"/>
      <c r="O7" s="118" t="n"/>
    </row>
    <row r="8">
      <c r="B8" s="137" t="inlineStr">
        <is>
          <t>ЦЕЛИ ПРОЕКТА (как должно быть)</t>
        </is>
      </c>
      <c r="C8" s="128" t="n"/>
      <c r="D8" s="128" t="n"/>
      <c r="E8" s="128" t="n"/>
      <c r="F8" s="128" t="n"/>
      <c r="G8" s="128" t="n"/>
      <c r="H8" s="159" t="inlineStr">
        <is>
          <t>ЭФФЕКТ ОТ РЕАЛИЗАЦИИ ПРОЕКТА</t>
        </is>
      </c>
      <c r="I8" s="128" t="n"/>
      <c r="J8" s="128" t="n"/>
      <c r="K8" s="128" t="n"/>
      <c r="L8" s="128" t="n"/>
      <c r="M8" s="128" t="n"/>
      <c r="N8" s="158" t="n"/>
    </row>
    <row r="9">
      <c r="B9" s="163" t="inlineStr">
        <is>
          <t>1. Установить корректные нормы времени взамен исторически завышенных — обеспечить справедливый расчёт заработной платы
2. Создать основу для корректного производственного планирования на базе реальных норм
3. Сократить время подготовки нормировочных документов до 15–30 минут на изделие
4. Сформировать единую базу типовых маршрутов (231 шт.) и оборудования (239 ед.)
5. Стандартизировать требования к оформлению чертежей — единые правила для всех конструкторов
6. Автоматизировать цикл «чертёж → нормы → 1С» с минимальным участием человека
7. Обеспечить автоматическую проверку чертежей по ГОСТ и правилам предприятия</t>
        </is>
      </c>
      <c r="C9" s="116" t="n"/>
      <c r="D9" s="116" t="n"/>
      <c r="E9" s="116" t="n"/>
      <c r="F9" s="116" t="n"/>
      <c r="G9" s="117" t="n"/>
      <c r="H9" s="154" t="inlineStr">
        <is>
          <t>Параметр</t>
        </is>
      </c>
      <c r="I9" s="129" t="n"/>
      <c r="J9" s="36" t="inlineStr">
        <is>
          <t>Качественная оценка</t>
        </is>
      </c>
      <c r="K9" s="166" t="inlineStr">
        <is>
          <t>Описание</t>
        </is>
      </c>
      <c r="L9" s="128" t="n"/>
      <c r="M9" s="128" t="n"/>
      <c r="N9" s="129" t="n"/>
    </row>
    <row r="10">
      <c r="B10" s="118" t="n"/>
      <c r="G10" s="120" t="n"/>
      <c r="H10" s="133" t="inlineStr">
        <is>
          <t>Увеличение прибыли</t>
        </is>
      </c>
      <c r="I10" s="129" t="n"/>
      <c r="J10" s="1" t="inlineStr">
        <is>
          <t>Высокая</t>
        </is>
      </c>
      <c r="K10" s="145" t="inlineStr">
        <is>
          <t>Корректное производственное планирование; ускорение запуска изделий в производство; возможность оценки реальной эффективности работы сотрудников</t>
        </is>
      </c>
      <c r="L10" s="128" t="n"/>
      <c r="M10" s="128" t="n"/>
      <c r="N10" s="128" t="n"/>
      <c r="O10" s="118" t="n"/>
    </row>
    <row r="11">
      <c r="B11" s="118" t="n"/>
      <c r="G11" s="120" t="n"/>
      <c r="H11" s="133" t="inlineStr">
        <is>
          <t>Снижение затрат</t>
        </is>
      </c>
      <c r="I11" s="129" t="n"/>
      <c r="J11" s="1" t="inlineStr">
        <is>
          <t>Высокая</t>
        </is>
      </c>
      <c r="K11" s="170" t="inlineStr">
        <is>
          <t>Устранение систематических переплат по некорректным нормам; сокращение ручного труда на нормирование и оформление документов; снижение затрат на исправление брака из-за завышенных требований в чертежах</t>
        </is>
      </c>
      <c r="L11" s="128" t="n"/>
      <c r="M11" s="128" t="n"/>
      <c r="N11" s="158" t="n"/>
    </row>
    <row r="12">
      <c r="B12" s="118" t="n"/>
      <c r="G12" s="120" t="n"/>
      <c r="H12" s="133" t="inlineStr">
        <is>
          <t>Снижение рисков</t>
        </is>
      </c>
      <c r="I12" s="129" t="n"/>
      <c r="J12" s="1" t="inlineStr">
        <is>
          <t>Высокая</t>
        </is>
      </c>
      <c r="K12" s="170" t="inlineStr">
        <is>
          <t>Корректные нормы устраняют риск конфликтов по зарплате; автоматическая проверка чертежей снижает риск производственных несоответствий; единые стандарты оформления снижают риск ошибок при запуске изделий</t>
        </is>
      </c>
      <c r="L12" s="128" t="n"/>
      <c r="M12" s="128" t="n"/>
      <c r="N12" s="158" t="n"/>
    </row>
    <row r="13" ht="45.75" customHeight="1" s="119">
      <c r="B13" s="164" t="n"/>
      <c r="C13" s="153" t="n"/>
      <c r="D13" s="153" t="n"/>
      <c r="E13" s="153" t="n"/>
      <c r="F13" s="153" t="n"/>
      <c r="G13" s="165" t="n"/>
      <c r="H13" s="132" t="inlineStr">
        <is>
          <t>Дополнительная информация: система анализирует чертежи в формате PDF, формирует замечания по ГОСТ, хранит историю расчётов, поддерживает экспорт в Excel для загрузки в 1С</t>
        </is>
      </c>
      <c r="I13" s="128" t="n"/>
      <c r="J13" s="128" t="n"/>
      <c r="K13" s="128" t="n"/>
      <c r="L13" s="128" t="n"/>
      <c r="M13" s="128" t="n"/>
      <c r="N13" s="129" t="n"/>
      <c r="O13" s="118" t="n"/>
    </row>
    <row r="14">
      <c r="B14" s="131" t="inlineStr">
        <is>
          <t>Оценка рисков проекта</t>
        </is>
      </c>
      <c r="C14" s="128" t="n"/>
      <c r="D14" s="128" t="n"/>
      <c r="E14" s="128" t="n"/>
      <c r="F14" s="128" t="n"/>
      <c r="G14" s="129" t="n"/>
      <c r="H14" s="159" t="inlineStr">
        <is>
          <t>ПЛАН МЕРОПРИЯТИЙ</t>
        </is>
      </c>
      <c r="I14" s="128" t="n"/>
      <c r="J14" s="128" t="n"/>
      <c r="K14" s="128" t="n"/>
      <c r="L14" s="128" t="n"/>
      <c r="M14" s="128" t="n"/>
      <c r="N14" s="158" t="n"/>
    </row>
    <row r="15" ht="33.75" customHeight="1" s="119">
      <c r="B15" s="19" t="inlineStr">
        <is>
          <t>Возможный риск</t>
        </is>
      </c>
      <c r="C15" s="6" t="inlineStr">
        <is>
          <t>Возможные последствия проблемы/влияние на результат</t>
        </is>
      </c>
      <c r="D15" s="6" t="inlineStr">
        <is>
          <t>Степень влияния на результат</t>
        </is>
      </c>
      <c r="E15" s="6" t="inlineStr">
        <is>
          <t>Вероятность возникновения</t>
        </is>
      </c>
      <c r="F15" s="6" t="inlineStr">
        <is>
          <t>Сложность обнаружения</t>
        </is>
      </c>
      <c r="G15" s="29" t="inlineStr">
        <is>
          <t>Степень риска</t>
        </is>
      </c>
      <c r="H15" s="30" t="inlineStr">
        <is>
          <t>№</t>
        </is>
      </c>
      <c r="I15" s="136" t="inlineStr">
        <is>
          <t>Мероприятие</t>
        </is>
      </c>
      <c r="J15" s="129" t="n"/>
      <c r="K15" s="136" t="inlineStr">
        <is>
          <t>Ответственный</t>
        </is>
      </c>
      <c r="L15" s="136" t="inlineStr">
        <is>
          <t>Начало</t>
        </is>
      </c>
      <c r="M15" s="136" t="inlineStr">
        <is>
          <t>Окончание</t>
        </is>
      </c>
      <c r="N15" s="11" t="inlineStr">
        <is>
          <t>Результат</t>
        </is>
      </c>
    </row>
    <row r="16" ht="45" customHeight="1" s="119">
      <c r="B16" s="108" t="inlineStr">
        <is>
          <t>Сопротивление персонала при переходе на новые нормы</t>
        </is>
      </c>
      <c r="C16" s="109" t="inlineStr">
        <is>
          <t>Отказ от использования системы; конфликты по пересмотренной зарплате</t>
        </is>
      </c>
      <c r="D16" s="2" t="inlineStr">
        <is>
          <t>Высокая</t>
        </is>
      </c>
      <c r="E16" s="2" t="inlineStr">
        <is>
          <t>Средняя</t>
        </is>
      </c>
      <c r="F16" s="2" t="inlineStr">
        <is>
          <t>Высокая</t>
        </is>
      </c>
      <c r="G16" s="31" t="inlineStr">
        <is>
          <t>Высокая</t>
        </is>
      </c>
      <c r="H16" s="38" t="inlineStr">
        <is>
          <t>1</t>
        </is>
      </c>
      <c r="I16" s="138" t="inlineStr">
        <is>
          <t>Анализ текущих норм и процессов нормирования</t>
        </is>
      </c>
      <c r="J16" s="129" t="n"/>
      <c r="K16" s="104" t="inlineStr">
        <is>
          <t>Егоров П.А.</t>
        </is>
      </c>
      <c r="L16" s="51" t="inlineStr">
        <is>
          <t>01.03.2026</t>
        </is>
      </c>
      <c r="M16" s="51" t="inlineStr">
        <is>
          <t>14.03.2026</t>
        </is>
      </c>
      <c r="N16" s="45" t="inlineStr">
        <is>
          <t xml:space="preserve">Отчёт </t>
        </is>
      </c>
    </row>
    <row r="17" ht="60" customHeight="1" s="119">
      <c r="B17" s="108" t="inlineStr">
        <is>
          <t>Неполнота или неточность базы типовых маршрутов</t>
        </is>
      </c>
      <c r="C17" s="109" t="inlineStr">
        <is>
          <t>Система предлагает неподходящие маршруты → недоверие пользователей</t>
        </is>
      </c>
      <c r="D17" s="2" t="inlineStr">
        <is>
          <t>Средняя</t>
        </is>
      </c>
      <c r="E17" s="2" t="inlineStr">
        <is>
          <t>Средняя</t>
        </is>
      </c>
      <c r="F17" s="2" t="inlineStr">
        <is>
          <t>Низкая</t>
        </is>
      </c>
      <c r="G17" s="31" t="inlineStr">
        <is>
          <t>Средняя</t>
        </is>
      </c>
      <c r="H17" s="38" t="inlineStr">
        <is>
          <t>2</t>
        </is>
      </c>
      <c r="I17" s="138" t="inlineStr">
        <is>
          <t>Сбор и структурирование базы маршрутов и оборудования</t>
        </is>
      </c>
      <c r="J17" s="129" t="n"/>
      <c r="K17" s="104" t="inlineStr">
        <is>
          <t>Егоров П.А.</t>
        </is>
      </c>
      <c r="L17" s="51" t="inlineStr">
        <is>
          <t>01.03.2026</t>
        </is>
      </c>
      <c r="M17" s="51" t="inlineStr">
        <is>
          <t>31.03.2026</t>
        </is>
      </c>
      <c r="N17" s="45" t="inlineStr">
        <is>
          <t>База маршрутов и оборудования</t>
        </is>
      </c>
    </row>
    <row r="18" ht="45" customHeight="1" s="119">
      <c r="B18" s="108" t="inlineStr">
        <is>
          <t>Недостаточная точность расчётов ИИ</t>
        </is>
      </c>
      <c r="C18" s="109" t="inlineStr">
        <is>
          <t>Некорректные нормы → ошибки в зарплате и планировании</t>
        </is>
      </c>
      <c r="D18" s="2" t="inlineStr">
        <is>
          <t>Высокая</t>
        </is>
      </c>
      <c r="E18" s="2" t="inlineStr">
        <is>
          <t>Средняя</t>
        </is>
      </c>
      <c r="F18" s="2" t="inlineStr">
        <is>
          <t>Низкая</t>
        </is>
      </c>
      <c r="G18" s="31" t="inlineStr">
        <is>
          <t>Средняя</t>
        </is>
      </c>
      <c r="H18" s="38" t="inlineStr">
        <is>
          <t>3</t>
        </is>
      </c>
      <c r="I18" s="138" t="inlineStr">
        <is>
          <t>Разработка архитектуры и конвейера обработки (6 этапов)</t>
        </is>
      </c>
      <c r="J18" s="129" t="n"/>
      <c r="K18" s="104" t="inlineStr">
        <is>
          <t>Узун Л.И.</t>
        </is>
      </c>
      <c r="L18" s="51" t="inlineStr">
        <is>
          <t>10.03.2026</t>
        </is>
      </c>
      <c r="M18" s="51" t="inlineStr">
        <is>
          <t>18.04.2026</t>
        </is>
      </c>
      <c r="N18" s="45" t="inlineStr">
        <is>
          <t>Рабочий конвейер</t>
        </is>
      </c>
    </row>
    <row r="19" ht="30" customHeight="1" s="119">
      <c r="B19" s="108" t="inlineStr">
        <is>
          <t>Изменение тарифов на сервер и подписку Claude</t>
        </is>
      </c>
      <c r="C19" s="109" t="inlineStr">
        <is>
          <t>Превышение бюджета на инфраструктуру</t>
        </is>
      </c>
      <c r="D19" s="2" t="inlineStr">
        <is>
          <t>Низкая</t>
        </is>
      </c>
      <c r="E19" s="2" t="inlineStr">
        <is>
          <t>Средняя</t>
        </is>
      </c>
      <c r="F19" s="2" t="inlineStr">
        <is>
          <t>Низкая</t>
        </is>
      </c>
      <c r="G19" s="31" t="inlineStr">
        <is>
          <t>Низкая</t>
        </is>
      </c>
      <c r="H19" s="38" t="inlineStr">
        <is>
          <t>4</t>
        </is>
      </c>
      <c r="I19" s="138" t="inlineStr">
        <is>
          <t>Разработка веб-интерфейса и настройка ИИ (Claude AI)</t>
        </is>
      </c>
      <c r="J19" s="129" t="n"/>
      <c r="K19" s="104" t="inlineStr">
        <is>
          <t>Узун Л.И.</t>
        </is>
      </c>
      <c r="L19" s="51" t="inlineStr">
        <is>
          <t>13.04.2026</t>
        </is>
      </c>
      <c r="M19" s="51" t="inlineStr">
        <is>
          <t>30.04.2026</t>
        </is>
      </c>
      <c r="N19" s="45" t="inlineStr">
        <is>
          <t>Веб-приложение</t>
        </is>
      </c>
    </row>
    <row r="20">
      <c r="B20" s="108" t="n"/>
      <c r="C20" s="109" t="n"/>
      <c r="D20" s="2" t="n"/>
      <c r="E20" s="2" t="n"/>
      <c r="F20" s="2" t="n"/>
      <c r="G20" s="31" t="n"/>
      <c r="H20" s="38" t="inlineStr">
        <is>
          <t>5</t>
        </is>
      </c>
      <c r="I20" s="138" t="inlineStr">
        <is>
          <t>Тестирование на реальных чертежах предприятия</t>
        </is>
      </c>
      <c r="J20" s="129" t="n"/>
      <c r="K20" s="104" t="inlineStr">
        <is>
          <t>Егоров П.А.</t>
        </is>
      </c>
      <c r="L20" s="51" t="inlineStr">
        <is>
          <t>01.05.2026</t>
        </is>
      </c>
      <c r="M20" s="51" t="inlineStr">
        <is>
          <t>30.06.2026</t>
        </is>
      </c>
      <c r="N20" s="45" t="inlineStr">
        <is>
          <t>Протокол тестирования</t>
        </is>
      </c>
    </row>
    <row r="21">
      <c r="B21" s="108" t="n"/>
      <c r="C21" s="107" t="n"/>
      <c r="D21" s="2" t="n"/>
      <c r="E21" s="2" t="n"/>
      <c r="F21" s="2" t="n"/>
      <c r="G21" s="31" t="n"/>
      <c r="H21" s="38" t="inlineStr">
        <is>
          <t>6</t>
        </is>
      </c>
      <c r="I21" s="138" t="inlineStr">
        <is>
          <t>Доработка по результатам тестирования</t>
        </is>
      </c>
      <c r="J21" s="129" t="n"/>
      <c r="K21" s="104" t="inlineStr">
        <is>
          <t>Узун Л.И.</t>
        </is>
      </c>
      <c r="L21" s="51" t="inlineStr">
        <is>
          <t>01.06.2026</t>
        </is>
      </c>
      <c r="M21" s="51" t="inlineStr">
        <is>
          <t>30.06.2026</t>
        </is>
      </c>
      <c r="N21" s="46" t="inlineStr">
        <is>
          <t>Исправления внесены</t>
        </is>
      </c>
      <c r="O21" s="118" t="n"/>
    </row>
    <row r="22" ht="30" customHeight="1" s="119">
      <c r="B22" s="108" t="n"/>
      <c r="C22" s="107" t="n"/>
      <c r="D22" s="2" t="n"/>
      <c r="E22" s="2" t="n"/>
      <c r="F22" s="2" t="n"/>
      <c r="G22" s="31" t="n"/>
      <c r="H22" s="38" t="inlineStr">
        <is>
          <t>7</t>
        </is>
      </c>
      <c r="I22" s="138" t="inlineStr">
        <is>
          <t>Развёртывание на сервере, первая рабочая версия для пользователей</t>
        </is>
      </c>
      <c r="J22" s="129" t="n"/>
      <c r="K22" s="104" t="inlineStr">
        <is>
          <t>Узун Л.И.</t>
        </is>
      </c>
      <c r="L22" s="51" t="inlineStr">
        <is>
          <t>01.07.2026</t>
        </is>
      </c>
      <c r="M22" s="51" t="inlineStr">
        <is>
          <t>31.07.2026</t>
        </is>
      </c>
      <c r="N22" s="45" t="inlineStr">
        <is>
          <t>Система доступна всем пользователям</t>
        </is>
      </c>
    </row>
    <row r="23" ht="30" customHeight="1" s="119">
      <c r="B23" s="131" t="inlineStr">
        <is>
          <t>Оценка показателей текущего состояния и определение целевых значений</t>
        </is>
      </c>
      <c r="C23" s="128" t="n"/>
      <c r="D23" s="128" t="n"/>
      <c r="E23" s="128" t="n"/>
      <c r="F23" s="128" t="n"/>
      <c r="G23" s="129" t="n"/>
      <c r="H23" s="39" t="inlineStr">
        <is>
          <t>8</t>
        </is>
      </c>
      <c r="I23" s="138" t="inlineStr">
        <is>
          <t>Интеграция с 1С через Excel-выгрузку</t>
        </is>
      </c>
      <c r="J23" s="129" t="n"/>
      <c r="K23" s="104" t="inlineStr">
        <is>
          <t>Егоров П.А.</t>
        </is>
      </c>
      <c r="L23" s="51" t="inlineStr">
        <is>
          <t>01.08.2026</t>
        </is>
      </c>
      <c r="M23" s="51" t="inlineStr">
        <is>
          <t>30.09.2026</t>
        </is>
      </c>
      <c r="N23" s="45" t="inlineStr">
        <is>
          <t>Нормы загружаются в 1С автоматически</t>
        </is>
      </c>
    </row>
    <row r="24">
      <c r="B24" s="154" t="inlineStr">
        <is>
          <t>Показатель</t>
        </is>
      </c>
      <c r="C24" s="129" t="n"/>
      <c r="D24" s="36" t="inlineStr">
        <is>
          <t>Период</t>
        </is>
      </c>
      <c r="E24" s="36" t="inlineStr">
        <is>
          <t>Текущее значение</t>
        </is>
      </c>
      <c r="F24" s="36" t="inlineStr">
        <is>
          <t>Требуемое значение</t>
        </is>
      </c>
      <c r="G24" s="37" t="inlineStr">
        <is>
          <t>Ответственный</t>
        </is>
      </c>
      <c r="H24" s="38" t="inlineStr">
        <is>
          <t>9</t>
        </is>
      </c>
      <c r="I24" s="138" t="inlineStr">
        <is>
          <t>Разработка единого стандарта оформления чертежей</t>
        </is>
      </c>
      <c r="J24" s="129" t="n"/>
      <c r="K24" s="104" t="inlineStr">
        <is>
          <t>Ванюков В.</t>
        </is>
      </c>
      <c r="L24" s="51" t="inlineStr">
        <is>
          <t>01.08.2026</t>
        </is>
      </c>
      <c r="M24" s="51" t="inlineStr">
        <is>
          <t>31.10.2026</t>
        </is>
      </c>
      <c r="N24" s="47" t="inlineStr">
        <is>
          <t>Стандарт утверждён</t>
        </is>
      </c>
    </row>
    <row r="25">
      <c r="B25" s="130" t="inlineStr">
        <is>
          <t>Время подготовки норм на одно изделие</t>
        </is>
      </c>
      <c r="C25" s="129" t="n"/>
      <c r="D25" s="41" t="inlineStr">
        <is>
          <t>Март 2026</t>
        </is>
      </c>
      <c r="E25" s="2" t="inlineStr">
        <is>
          <t>Несколько часов (ручной режим)</t>
        </is>
      </c>
      <c r="F25" s="44" t="inlineStr">
        <is>
          <t>15–30 мин</t>
        </is>
      </c>
      <c r="G25" s="43" t="inlineStr">
        <is>
          <t>Узун Л.И.</t>
        </is>
      </c>
      <c r="H25" s="38" t="inlineStr">
        <is>
          <t>10</t>
        </is>
      </c>
      <c r="I25" s="138" t="inlineStr">
        <is>
          <t>Пересмотр и корректировка норм для ключевых групп изделий</t>
        </is>
      </c>
      <c r="J25" s="129" t="n"/>
      <c r="K25" s="105" t="inlineStr">
        <is>
          <t>Егоров П.А.</t>
        </is>
      </c>
      <c r="L25" s="106" t="inlineStr">
        <is>
          <t>01.09.2026</t>
        </is>
      </c>
      <c r="M25" s="106" t="inlineStr">
        <is>
          <t>30.11.2026</t>
        </is>
      </c>
      <c r="N25" s="48" t="inlineStr">
        <is>
          <t>Нормы откорректированы</t>
        </is>
      </c>
    </row>
    <row r="26">
      <c r="B26" s="130" t="inlineStr">
        <is>
          <t>Корректность норм (соответствие реальным трудозатратам)</t>
        </is>
      </c>
      <c r="C26" s="129" t="n"/>
      <c r="D26" s="41" t="inlineStr">
        <is>
          <t>Март 2026</t>
        </is>
      </c>
      <c r="E26" s="44" t="inlineStr">
        <is>
          <t>Нормы завышены, выработка ~200% нормы</t>
        </is>
      </c>
      <c r="F26" s="44" t="inlineStr">
        <is>
          <t>Нормы соответствуют реальности</t>
        </is>
      </c>
      <c r="G26" s="43" t="inlineStr">
        <is>
          <t>Узун Л.И.</t>
        </is>
      </c>
      <c r="H26" s="38" t="inlineStr">
        <is>
          <t>11</t>
        </is>
      </c>
      <c r="I26" s="138" t="inlineStr">
        <is>
          <t>Обучение сотрудников работе с системой</t>
        </is>
      </c>
      <c r="J26" s="129" t="n"/>
      <c r="K26" s="105" t="inlineStr">
        <is>
          <t>Узун Л.И.</t>
        </is>
      </c>
      <c r="L26" s="106" t="inlineStr">
        <is>
          <t>01.10.2026</t>
        </is>
      </c>
      <c r="M26" s="106" t="inlineStr">
        <is>
          <t>30.11.2026</t>
        </is>
      </c>
      <c r="N26" s="49" t="inlineStr">
        <is>
          <t>Журнал обучения</t>
        </is>
      </c>
    </row>
    <row r="27">
      <c r="B27" s="130" t="inlineStr">
        <is>
          <t>Охват типовых маршрутов в базе</t>
        </is>
      </c>
      <c r="C27" s="129" t="n"/>
      <c r="D27" s="41" t="inlineStr">
        <is>
          <t>Март 2026</t>
        </is>
      </c>
      <c r="E27" s="1" t="inlineStr">
        <is>
          <t>0 (ручной подбор)</t>
        </is>
      </c>
      <c r="F27" s="1" t="inlineStr">
        <is>
          <t>231 маршрут</t>
        </is>
      </c>
      <c r="G27" s="42" t="inlineStr">
        <is>
          <t>Егоров П.А.</t>
        </is>
      </c>
      <c r="H27" s="38" t="inlineStr">
        <is>
          <t>12</t>
        </is>
      </c>
      <c r="I27" s="138" t="inlineStr">
        <is>
          <t>Ввод в постоянную эксплуатацию</t>
        </is>
      </c>
      <c r="J27" s="129" t="n"/>
      <c r="K27" s="105" t="inlineStr">
        <is>
          <t>Виноградов И.А.</t>
        </is>
      </c>
      <c r="L27" s="106" t="inlineStr">
        <is>
          <t>01.12.2026</t>
        </is>
      </c>
      <c r="M27" s="106" t="inlineStr">
        <is>
          <t>31.12.2026</t>
        </is>
      </c>
      <c r="N27" s="50" t="inlineStr">
        <is>
          <t>Приказ о вводе</t>
        </is>
      </c>
      <c r="O27" s="118" t="n"/>
    </row>
    <row r="28">
      <c r="B28" s="157" t="inlineStr">
        <is>
          <t>АНАЛИЗ ПРОБЛЕМЫ</t>
        </is>
      </c>
      <c r="C28" s="128" t="n"/>
      <c r="D28" s="128" t="n"/>
      <c r="E28" s="128" t="n"/>
      <c r="F28" s="128" t="n"/>
      <c r="G28" s="158" t="n"/>
      <c r="H28" s="127" t="inlineStr">
        <is>
          <t>РЕЗУЛЬТАТЫ ПРОЕКТА</t>
        </is>
      </c>
      <c r="I28" s="128" t="n"/>
      <c r="J28" s="128" t="n"/>
      <c r="K28" s="128" t="n"/>
      <c r="L28" s="128" t="n"/>
      <c r="M28" s="128" t="n"/>
      <c r="N28" s="129" t="n"/>
    </row>
    <row r="29" ht="100" customHeight="1" s="119">
      <c r="B29" s="115" t="inlineStr">
        <is>
          <t>КОРНЕВЫЕ ПРИЧИНЫ:
1. Нормировщик в штате отсутствует
   → Нормы не пересматривались годами; исторически завышены для обеспечения приемлемого уровня заработной платы сотрудников
2. Искажённые нормы блокируют планирование и оценку эффективности
   → Фактическая выработка в системе показывает ~200% нормы — данные непригодны для анализа и управления производством
3. Нет единой базы типовых технологических маршрутов
   → Маршрут подбирается вручную в каждом конкретном случае
4. Отсутствие стандарта оформления чертежей
   → Каждый конструктор работает по своим правилам; требования в чертежах нередко завышены, что ведёт к лишним операциям
5. Цикл нормирования полностью ручной и не связан с 1С
   → Нормы вносятся в 1С вручную, без проверки и без единого источника данных</t>
        </is>
      </c>
      <c r="C29" s="116" t="n"/>
      <c r="D29" s="116" t="n"/>
      <c r="E29" s="116" t="n"/>
      <c r="F29" s="116" t="n"/>
      <c r="G29" s="117" t="n"/>
      <c r="H29" s="162" t="inlineStr">
        <is>
          <t>Проект может считаться успешно завершённым при выполнении следующих условий:
1. Веб-приложение развёрнуто на сервере и доступно 10–12 пользователям предприятия
2. База содержит актуальные типовые маршруты (231 шт.) и оборудование (239 ед.)
3. Время подготовки норм для одного изделия не превышает 30 минут
4. Реализована выгрузка норм в Excel и загрузка в 1С
5. Нормы пересмотрены и откорректированы для ключевых групп изделий
6. Разработаны и утверждены единые правила оформления чертежей
7. Автоматическая проверка чертежей по ГОСТ интегрирована в систему
8. Проведено обучение не менее 5 сотрудников; система используется в рабочем режиме</t>
        </is>
      </c>
      <c r="I29" s="128" t="n"/>
      <c r="J29" s="128" t="n"/>
      <c r="K29" s="128" t="n"/>
      <c r="L29" s="128" t="n"/>
      <c r="M29" s="128" t="n"/>
      <c r="N29" s="129" t="n"/>
      <c r="O29" s="118" t="n"/>
    </row>
    <row r="30">
      <c r="B30" s="118" t="n"/>
      <c r="G30" s="120" t="n"/>
      <c r="H30" s="127" t="inlineStr">
        <is>
          <t>ПОКАЗАТЕЛИ ЭФФЕКТИВНОСТИ ПРОЕКТА</t>
        </is>
      </c>
      <c r="I30" s="128" t="n"/>
      <c r="J30" s="128" t="n"/>
      <c r="K30" s="128" t="n"/>
      <c r="L30" s="128" t="n"/>
      <c r="M30" s="128" t="n"/>
      <c r="N30" s="129" t="n"/>
    </row>
    <row r="31">
      <c r="B31" s="118" t="n"/>
      <c r="G31" s="120" t="n"/>
      <c r="H31" s="178" t="inlineStr">
        <is>
          <t>Показатель</t>
        </is>
      </c>
      <c r="I31" s="128" t="n"/>
      <c r="J31" s="129" t="n"/>
      <c r="K31" s="35" t="inlineStr">
        <is>
          <t>План</t>
        </is>
      </c>
      <c r="L31" s="35" t="inlineStr">
        <is>
          <t>Факт</t>
        </is>
      </c>
      <c r="M31" s="35" t="inlineStr">
        <is>
          <t>Отклонение</t>
        </is>
      </c>
      <c r="N31" s="11" t="inlineStr">
        <is>
          <t>Степень удовлетворённости</t>
        </is>
      </c>
    </row>
    <row r="32">
      <c r="B32" s="118" t="n"/>
      <c r="G32" s="120" t="n"/>
      <c r="H32" s="156" t="inlineStr">
        <is>
          <t>Сроки (разница в календарных днях)</t>
        </is>
      </c>
      <c r="I32" s="128" t="n"/>
      <c r="J32" s="129" t="n"/>
      <c r="K32" s="2" t="inlineStr">
        <is>
          <t>01.03–31.12.2026</t>
        </is>
      </c>
      <c r="L32" s="2" t="n"/>
      <c r="M32" s="2" t="n"/>
      <c r="N32" s="12" t="n"/>
    </row>
    <row r="33">
      <c r="B33" s="118" t="n"/>
      <c r="G33" s="120" t="n"/>
      <c r="H33" s="156" t="inlineStr">
        <is>
          <t>Стоимость (разница в рублях)</t>
        </is>
      </c>
      <c r="I33" s="128" t="n"/>
      <c r="J33" s="129" t="n"/>
      <c r="K33" s="3" t="inlineStr">
        <is>
          <t>~128 000</t>
        </is>
      </c>
      <c r="L33" s="3" t="n"/>
      <c r="M33" s="4" t="n"/>
      <c r="N33" s="12" t="n"/>
    </row>
    <row r="34">
      <c r="B34" s="118" t="n"/>
      <c r="G34" s="120" t="n"/>
      <c r="H34" s="156" t="inlineStr">
        <is>
          <t>Трудозатрат, чел./дн.</t>
        </is>
      </c>
      <c r="I34" s="128" t="n"/>
      <c r="J34" s="129" t="n"/>
      <c r="K34" s="2" t="inlineStr">
        <is>
          <t>80</t>
        </is>
      </c>
      <c r="L34" s="2" t="n"/>
      <c r="M34" s="4" t="n"/>
      <c r="N34" s="12" t="n"/>
    </row>
    <row r="35">
      <c r="B35" s="118" t="n"/>
      <c r="G35" s="120" t="n"/>
      <c r="H35" s="156" t="inlineStr">
        <is>
          <t>Качество (все ли целевые показатели достигнуты)</t>
        </is>
      </c>
      <c r="I35" s="128" t="n"/>
      <c r="J35" s="129" t="n"/>
      <c r="K35" s="5" t="inlineStr">
        <is>
          <t>Да</t>
        </is>
      </c>
      <c r="L35" s="5" t="n"/>
      <c r="M35" s="4" t="n"/>
      <c r="N35" s="12" t="n"/>
    </row>
    <row r="36" ht="27" customHeight="1" s="119" thickBot="1">
      <c r="B36" s="121" t="n"/>
      <c r="C36" s="122" t="n"/>
      <c r="D36" s="122" t="n"/>
      <c r="E36" s="122" t="n"/>
      <c r="F36" s="122" t="n"/>
      <c r="G36" s="123" t="n"/>
      <c r="H36" s="134" t="inlineStr">
        <is>
          <t>ИТОГО:</t>
        </is>
      </c>
      <c r="I36" s="116" t="n"/>
      <c r="J36" s="116" t="n"/>
      <c r="K36" s="116" t="n"/>
      <c r="L36" s="116" t="n"/>
      <c r="M36" s="135" t="n"/>
      <c r="N36" s="13" t="n"/>
    </row>
    <row r="37">
      <c r="B37" s="160" t="inlineStr">
        <is>
          <t>ПРОЕКТ ОДОБРЕН</t>
        </is>
      </c>
      <c r="C37" s="125" t="n"/>
      <c r="D37" s="125" t="n"/>
      <c r="E37" s="125" t="n"/>
      <c r="F37" s="125" t="n"/>
      <c r="G37" s="161" t="n"/>
      <c r="H37" s="124" t="inlineStr">
        <is>
          <t>ПРОЕКТ ПРИНЯТ</t>
        </is>
      </c>
      <c r="I37" s="125" t="n"/>
      <c r="J37" s="125" t="n"/>
      <c r="K37" s="125" t="n"/>
      <c r="L37" s="125" t="n"/>
      <c r="M37" s="125" t="n"/>
      <c r="N37" s="126" t="n"/>
    </row>
    <row r="38" ht="50" customHeight="1" s="119">
      <c r="B38" s="20" t="n"/>
      <c r="C38" s="8" t="n"/>
      <c r="D38" s="8" t="n"/>
      <c r="E38" s="8" t="n"/>
      <c r="F38" s="9" t="n"/>
      <c r="G38" s="32" t="n"/>
      <c r="H38" s="8" t="n"/>
      <c r="I38" s="8" t="n"/>
      <c r="J38" s="8" t="n"/>
      <c r="K38" s="8" t="n"/>
      <c r="L38" s="8" t="n"/>
      <c r="M38" s="9" t="n"/>
      <c r="N38" s="9" t="n"/>
      <c r="O38" s="118" t="n"/>
    </row>
    <row r="39" ht="15.75" customHeight="1" s="119" thickBot="1">
      <c r="B39" s="21" t="inlineStr">
        <is>
          <t>подпись</t>
        </is>
      </c>
      <c r="C39" s="172" t="inlineStr">
        <is>
          <t>Ф.И.О.</t>
        </is>
      </c>
      <c r="D39" s="116" t="n"/>
      <c r="E39" s="18" t="inlineStr">
        <is>
          <t>дата</t>
        </is>
      </c>
      <c r="F39" s="18" t="n"/>
      <c r="G39" s="33" t="n"/>
      <c r="H39" s="155" t="inlineStr">
        <is>
          <t>подпись</t>
        </is>
      </c>
      <c r="I39" s="112" t="n"/>
      <c r="J39" s="111" t="inlineStr">
        <is>
          <t>Ф.И.О.</t>
        </is>
      </c>
      <c r="K39" s="112" t="n"/>
      <c r="L39" s="111" t="inlineStr">
        <is>
          <t>дата</t>
        </is>
      </c>
      <c r="M39" s="122" t="n"/>
      <c r="N39" s="120" t="n"/>
    </row>
    <row r="40">
      <c r="C40" s="150" t="n"/>
      <c r="D40" s="150" t="n"/>
      <c r="E40" s="150" t="n"/>
      <c r="F40" s="150" t="n"/>
      <c r="N40" s="150" t="n"/>
    </row>
  </sheetData>
  <mergeCells count="63">
    <mergeCell ref="J39:K39"/>
    <mergeCell ref="F4:G4"/>
    <mergeCell ref="B29:G36"/>
    <mergeCell ref="H37:N37"/>
    <mergeCell ref="H28:N28"/>
    <mergeCell ref="B25:C25"/>
    <mergeCell ref="B14:G14"/>
    <mergeCell ref="H13:N13"/>
    <mergeCell ref="H10:I10"/>
    <mergeCell ref="H36:M36"/>
    <mergeCell ref="B23:G23"/>
    <mergeCell ref="I15:J15"/>
    <mergeCell ref="B8:G8"/>
    <mergeCell ref="I27:J27"/>
    <mergeCell ref="M2:M3"/>
    <mergeCell ref="H4:I4"/>
    <mergeCell ref="N2:N3"/>
    <mergeCell ref="B27:C27"/>
    <mergeCell ref="K10:N10"/>
    <mergeCell ref="B2:B5"/>
    <mergeCell ref="F2:L3"/>
    <mergeCell ref="H9:I9"/>
    <mergeCell ref="I26:J26"/>
    <mergeCell ref="H39:I39"/>
    <mergeCell ref="H32:J32"/>
    <mergeCell ref="B28:G28"/>
    <mergeCell ref="H8:N8"/>
    <mergeCell ref="H14:N14"/>
    <mergeCell ref="I16:J16"/>
    <mergeCell ref="B37:G37"/>
    <mergeCell ref="H30:N30"/>
    <mergeCell ref="I25:J25"/>
    <mergeCell ref="H29:N29"/>
    <mergeCell ref="I22:J22"/>
    <mergeCell ref="B9:G13"/>
    <mergeCell ref="K9:N9"/>
    <mergeCell ref="I18:J18"/>
    <mergeCell ref="E2:E3"/>
    <mergeCell ref="B6:G6"/>
    <mergeCell ref="I21:J21"/>
    <mergeCell ref="H33:J33"/>
    <mergeCell ref="H11:I11"/>
    <mergeCell ref="I24:J24"/>
    <mergeCell ref="K11:N11"/>
    <mergeCell ref="I23:J23"/>
    <mergeCell ref="H35:J35"/>
    <mergeCell ref="H6:N6"/>
    <mergeCell ref="I17:J17"/>
    <mergeCell ref="C39:D39"/>
    <mergeCell ref="B7:G7"/>
    <mergeCell ref="F5:L5"/>
    <mergeCell ref="B24:C24"/>
    <mergeCell ref="H12:I12"/>
    <mergeCell ref="M4:M5"/>
    <mergeCell ref="I20:J20"/>
    <mergeCell ref="B1:N1"/>
    <mergeCell ref="I19:J19"/>
    <mergeCell ref="H31:J31"/>
    <mergeCell ref="K12:N12"/>
    <mergeCell ref="N4:N5"/>
    <mergeCell ref="H7:N7"/>
    <mergeCell ref="H34:J34"/>
    <mergeCell ref="B26:C26"/>
  </mergeCells>
  <dataValidations count="2">
    <dataValidation sqref="J10:J12" showDropDown="0" showInputMessage="1" showErrorMessage="1" allowBlank="1" type="list">
      <formula1>"Да, Нет"</formula1>
    </dataValidation>
    <dataValidation sqref="D2" showDropDown="0" showInputMessage="1" showErrorMessage="1" allowBlank="1" type="list">
      <formula1>"Стратегический проект (СП), Проект основной деятельности (ПОД)"</formula1>
    </dataValidation>
  </dataValidations>
  <pageMargins left="0.7" right="0.7" top="0.75" bottom="0.75" header="0.3" footer="0.3"/>
  <pageSetup orientation="landscape" paperSize="8" scale="59"/>
</worksheet>
</file>

<file path=xl/worksheets/sheet2.xml><?xml version="1.0" encoding="utf-8"?>
<worksheet xmlns="http://schemas.openxmlformats.org/spreadsheetml/2006/main">
  <sheetPr>
    <outlinePr summaryBelow="1" summaryRight="1"/>
    <pageSetUpPr/>
  </sheetPr>
  <dimension ref="B2:AB21"/>
  <sheetViews>
    <sheetView workbookViewId="0">
      <selection activeCell="C13" sqref="C13"/>
    </sheetView>
  </sheetViews>
  <sheetFormatPr baseColWidth="10" defaultColWidth="8.83203125" defaultRowHeight="15"/>
  <cols>
    <col width="50.6640625" customWidth="1" style="119" min="3" max="3"/>
    <col width="12.6640625" customWidth="1" style="119" min="4" max="5"/>
    <col width="7.6640625" customWidth="1" style="119" min="6" max="26"/>
  </cols>
  <sheetData>
    <row r="2" ht="23.25" customHeight="1" s="119">
      <c r="B2" s="185" t="inlineStr">
        <is>
          <t>Ресурсный план</t>
        </is>
      </c>
    </row>
    <row r="4" ht="15.75" customHeight="1" s="119">
      <c r="B4" s="53" t="inlineStr">
        <is>
          <t xml:space="preserve">Проект: </t>
        </is>
      </c>
      <c r="C4" s="186">
        <f>А3!F2</f>
        <v/>
      </c>
      <c r="D4" s="153" t="n"/>
      <c r="E4" s="153" t="n"/>
      <c r="F4" s="153" t="n"/>
      <c r="G4" s="153" t="n"/>
      <c r="H4" s="153" t="n"/>
      <c r="I4" s="153" t="n"/>
      <c r="J4" s="153" t="n"/>
      <c r="K4" s="153" t="n"/>
      <c r="L4" s="153" t="n"/>
      <c r="M4" s="153" t="n"/>
      <c r="N4" s="153" t="n"/>
      <c r="O4" s="153" t="n"/>
      <c r="P4" s="153" t="n"/>
      <c r="Q4" s="153" t="n"/>
    </row>
    <row r="5" ht="15.75" customHeight="1" s="119">
      <c r="B5" s="53" t="inlineStr">
        <is>
          <t>Шифр:</t>
        </is>
      </c>
      <c r="C5" s="181">
        <f>А3!D3</f>
        <v/>
      </c>
      <c r="D5" s="128" t="n"/>
      <c r="E5" s="128" t="n"/>
      <c r="F5" s="128" t="n"/>
      <c r="G5" s="128" t="n"/>
      <c r="H5" s="128" t="n"/>
      <c r="I5" s="128" t="n"/>
      <c r="J5" s="128" t="n"/>
      <c r="K5" s="128" t="n"/>
      <c r="L5" s="128" t="n"/>
      <c r="M5" s="128" t="n"/>
      <c r="N5" s="128" t="n"/>
      <c r="O5" s="128" t="n"/>
      <c r="P5" s="128" t="n"/>
      <c r="Q5" s="128" t="n"/>
    </row>
    <row r="6" ht="15.75" customHeight="1" s="119" thickBot="1"/>
    <row r="7">
      <c r="B7" s="179" t="inlineStr">
        <is>
          <t>№</t>
        </is>
      </c>
      <c r="C7" s="182" t="inlineStr">
        <is>
          <t>Задача</t>
        </is>
      </c>
      <c r="D7" s="180" t="inlineStr">
        <is>
          <t>Сроки выполнения</t>
        </is>
      </c>
      <c r="E7" s="161" t="n"/>
      <c r="F7" s="187" t="inlineStr">
        <is>
          <t>Гант (мес.)</t>
        </is>
      </c>
      <c r="G7" s="125" t="n"/>
      <c r="H7" s="125" t="n"/>
      <c r="I7" s="125" t="n"/>
      <c r="J7" s="125" t="n"/>
      <c r="K7" s="125" t="n"/>
      <c r="L7" s="125" t="n"/>
      <c r="M7" s="125" t="n"/>
      <c r="N7" s="125" t="n"/>
      <c r="O7" s="125" t="n"/>
      <c r="P7" s="125" t="n"/>
      <c r="Q7" s="161" t="n"/>
      <c r="R7" s="179" t="inlineStr">
        <is>
          <t>Ресурсы (чел./дн.)</t>
        </is>
      </c>
      <c r="S7" s="125" t="n"/>
      <c r="T7" s="125" t="n"/>
      <c r="U7" s="125" t="n"/>
      <c r="V7" s="125" t="n"/>
      <c r="W7" s="125" t="n"/>
      <c r="X7" s="125" t="n"/>
      <c r="Y7" s="125" t="n"/>
      <c r="Z7" s="161" t="n"/>
      <c r="AA7" s="118" t="n"/>
    </row>
    <row r="8" ht="120" customHeight="1" s="119">
      <c r="B8" s="168" t="n"/>
      <c r="C8" s="144" t="n"/>
      <c r="D8" s="54" t="inlineStr">
        <is>
          <t>Начало</t>
        </is>
      </c>
      <c r="E8" s="55" t="inlineStr">
        <is>
          <t>Окончание</t>
        </is>
      </c>
      <c r="F8" s="56" t="n">
        <v>45292</v>
      </c>
      <c r="G8" s="56" t="n">
        <v>45323</v>
      </c>
      <c r="H8" s="56" t="n">
        <v>45352</v>
      </c>
      <c r="I8" s="57" t="n">
        <v>45383</v>
      </c>
      <c r="J8" s="56" t="n">
        <v>45413</v>
      </c>
      <c r="K8" s="57" t="n">
        <v>45444</v>
      </c>
      <c r="L8" s="58" t="n">
        <v>45474</v>
      </c>
      <c r="M8" s="58" t="n">
        <v>45505</v>
      </c>
      <c r="N8" s="58" t="n">
        <v>45536</v>
      </c>
      <c r="O8" s="56" t="n">
        <v>45566</v>
      </c>
      <c r="P8" s="56" t="n">
        <v>45597</v>
      </c>
      <c r="Q8" s="56" t="n">
        <v>45627</v>
      </c>
      <c r="R8" s="77" t="inlineStr">
        <is>
          <t>Виноградов И.А.</t>
        </is>
      </c>
      <c r="S8" s="78" t="inlineStr">
        <is>
          <t>Узун Л.И.</t>
        </is>
      </c>
      <c r="T8" s="79" t="inlineStr">
        <is>
          <t>Егоров П.А.</t>
        </is>
      </c>
      <c r="U8" s="79" t="inlineStr">
        <is>
          <t>Ванюков В.</t>
        </is>
      </c>
      <c r="V8" s="79" t="inlineStr">
        <is>
          <t>1С-специалист</t>
        </is>
      </c>
      <c r="W8" s="79" t="n"/>
      <c r="X8" s="79" t="n"/>
      <c r="Y8" s="79" t="n"/>
      <c r="Z8" s="80" t="n"/>
      <c r="AB8" t="inlineStr">
        <is>
          <t>ИТОГО</t>
        </is>
      </c>
    </row>
    <row r="9">
      <c r="B9" s="59">
        <f>ROW()-8</f>
        <v/>
      </c>
      <c r="C9" s="40">
        <f>А3!I16</f>
        <v/>
      </c>
      <c r="D9" s="81">
        <f>А3!L16</f>
        <v/>
      </c>
      <c r="E9" s="82">
        <f>А3!M16</f>
        <v/>
      </c>
      <c r="F9" s="73" t="n"/>
      <c r="G9" s="74" t="n"/>
      <c r="H9" s="74" t="inlineStr">
        <is>
          <t>●</t>
        </is>
      </c>
      <c r="I9" s="74" t="n"/>
      <c r="J9" s="74" t="n"/>
      <c r="K9" s="74" t="n"/>
      <c r="L9" s="74" t="n"/>
      <c r="M9" s="74" t="n"/>
      <c r="N9" s="74" t="n"/>
      <c r="O9" s="74" t="n"/>
      <c r="P9" s="76" t="n"/>
      <c r="Q9" s="75" t="n"/>
      <c r="R9" s="60" t="n"/>
      <c r="S9" s="61" t="n"/>
      <c r="T9" s="62" t="n">
        <v>5</v>
      </c>
      <c r="U9" s="62" t="n"/>
      <c r="V9" s="62" t="n"/>
      <c r="W9" s="62" t="n"/>
      <c r="X9" s="62" t="n"/>
      <c r="Y9" s="62" t="n"/>
      <c r="Z9" s="63" t="n"/>
      <c r="AA9" s="118" t="n"/>
      <c r="AB9" t="n">
        <v>5</v>
      </c>
    </row>
    <row r="10">
      <c r="B10" s="59">
        <f>ROW()-8</f>
        <v/>
      </c>
      <c r="C10" s="40">
        <f>А3!I17</f>
        <v/>
      </c>
      <c r="D10" s="81">
        <f>А3!L17</f>
        <v/>
      </c>
      <c r="E10" s="82">
        <f>А3!M17</f>
        <v/>
      </c>
      <c r="F10" s="73" t="n"/>
      <c r="G10" s="74" t="n"/>
      <c r="H10" s="74" t="inlineStr">
        <is>
          <t>●</t>
        </is>
      </c>
      <c r="I10" s="74" t="inlineStr">
        <is>
          <t>●</t>
        </is>
      </c>
      <c r="J10" s="74" t="n"/>
      <c r="K10" s="74" t="n"/>
      <c r="L10" s="74" t="n"/>
      <c r="M10" s="74" t="n"/>
      <c r="N10" s="74" t="n"/>
      <c r="O10" s="74" t="n"/>
      <c r="P10" s="76" t="n"/>
      <c r="Q10" s="75" t="n"/>
      <c r="R10" s="60" t="n"/>
      <c r="S10" s="61" t="n"/>
      <c r="T10" s="62" t="n"/>
      <c r="U10" s="62" t="n">
        <v>10</v>
      </c>
      <c r="V10" s="62" t="n"/>
      <c r="W10" s="62" t="n"/>
      <c r="X10" s="62" t="n"/>
      <c r="Y10" s="62" t="n"/>
      <c r="Z10" s="64" t="n"/>
      <c r="AB10" t="n">
        <v>10</v>
      </c>
    </row>
    <row r="11">
      <c r="B11" s="59">
        <f>ROW()-8</f>
        <v/>
      </c>
      <c r="C11" s="40">
        <f>А3!I18</f>
        <v/>
      </c>
      <c r="D11" s="81">
        <f>А3!L18</f>
        <v/>
      </c>
      <c r="E11" s="82">
        <f>А3!M18</f>
        <v/>
      </c>
      <c r="F11" s="73" t="n"/>
      <c r="G11" s="74" t="n"/>
      <c r="H11" s="74" t="inlineStr">
        <is>
          <t>●</t>
        </is>
      </c>
      <c r="I11" s="74" t="inlineStr">
        <is>
          <t>●</t>
        </is>
      </c>
      <c r="J11" s="74" t="n"/>
      <c r="K11" s="74" t="n"/>
      <c r="L11" s="74" t="n"/>
      <c r="M11" s="74" t="n"/>
      <c r="N11" s="74" t="n"/>
      <c r="O11" s="74" t="n"/>
      <c r="P11" s="76" t="n"/>
      <c r="Q11" s="75" t="n"/>
      <c r="R11" s="60" t="n"/>
      <c r="S11" s="61" t="n">
        <v>20</v>
      </c>
      <c r="T11" s="62" t="n"/>
      <c r="U11" s="62" t="n"/>
      <c r="V11" s="62" t="n"/>
      <c r="W11" s="62" t="n"/>
      <c r="X11" s="62" t="n"/>
      <c r="Y11" s="62" t="n"/>
      <c r="Z11" s="63" t="n"/>
      <c r="AA11" s="118" t="n"/>
      <c r="AB11" t="n">
        <v>20</v>
      </c>
    </row>
    <row r="12">
      <c r="B12" s="59">
        <f>ROW()-8</f>
        <v/>
      </c>
      <c r="C12" s="40">
        <f>А3!I19</f>
        <v/>
      </c>
      <c r="D12" s="81">
        <f>А3!L19</f>
        <v/>
      </c>
      <c r="E12" s="82">
        <f>А3!M19</f>
        <v/>
      </c>
      <c r="F12" s="73" t="n"/>
      <c r="G12" s="74" t="n"/>
      <c r="H12" s="74" t="n"/>
      <c r="I12" s="74" t="inlineStr">
        <is>
          <t>●</t>
        </is>
      </c>
      <c r="J12" s="74" t="n"/>
      <c r="K12" s="74" t="n"/>
      <c r="L12" s="74" t="n"/>
      <c r="M12" s="74" t="n"/>
      <c r="N12" s="74" t="n"/>
      <c r="O12" s="74" t="n"/>
      <c r="P12" s="76" t="n"/>
      <c r="Q12" s="75" t="n"/>
      <c r="R12" s="60" t="n"/>
      <c r="S12" s="61" t="n">
        <v>15</v>
      </c>
      <c r="T12" s="62" t="n"/>
      <c r="U12" s="62" t="n"/>
      <c r="V12" s="62" t="n"/>
      <c r="W12" s="62" t="n"/>
      <c r="X12" s="62" t="n"/>
      <c r="Y12" s="62" t="n"/>
      <c r="Z12" s="63" t="n"/>
      <c r="AA12" s="118" t="n"/>
      <c r="AB12" t="n">
        <v>15</v>
      </c>
    </row>
    <row r="13">
      <c r="B13" s="59">
        <f>ROW()-8</f>
        <v/>
      </c>
      <c r="C13" s="40">
        <f>А3!I20</f>
        <v/>
      </c>
      <c r="D13" s="81">
        <f>А3!L20</f>
        <v/>
      </c>
      <c r="E13" s="82">
        <f>А3!M20</f>
        <v/>
      </c>
      <c r="F13" s="73" t="n"/>
      <c r="G13" s="74" t="n"/>
      <c r="H13" s="74" t="n"/>
      <c r="I13" s="74" t="n"/>
      <c r="J13" s="74" t="inlineStr">
        <is>
          <t>●</t>
        </is>
      </c>
      <c r="K13" s="74" t="inlineStr">
        <is>
          <t>●</t>
        </is>
      </c>
      <c r="L13" s="74" t="n"/>
      <c r="M13" s="74" t="n"/>
      <c r="N13" s="74" t="n"/>
      <c r="O13" s="74" t="n"/>
      <c r="P13" s="76" t="n"/>
      <c r="Q13" s="75" t="n"/>
      <c r="R13" s="60" t="n"/>
      <c r="S13" s="61" t="n">
        <v>5</v>
      </c>
      <c r="T13" s="62" t="n">
        <v>10</v>
      </c>
      <c r="U13" s="62" t="n"/>
      <c r="V13" s="62" t="n"/>
      <c r="W13" s="62" t="n"/>
      <c r="X13" s="62" t="n"/>
      <c r="Y13" s="62" t="n"/>
      <c r="Z13" s="63" t="n"/>
      <c r="AA13" s="118" t="n"/>
      <c r="AB13" t="n">
        <v>15</v>
      </c>
    </row>
    <row r="14">
      <c r="B14" s="59">
        <f>ROW()-8</f>
        <v/>
      </c>
      <c r="C14" s="40">
        <f>А3!I21</f>
        <v/>
      </c>
      <c r="D14" s="81">
        <f>А3!L21</f>
        <v/>
      </c>
      <c r="E14" s="82">
        <f>А3!M21</f>
        <v/>
      </c>
      <c r="F14" s="73" t="n"/>
      <c r="G14" s="74" t="n"/>
      <c r="H14" s="74" t="n"/>
      <c r="I14" s="74" t="n"/>
      <c r="J14" s="74" t="n"/>
      <c r="K14" s="74" t="inlineStr">
        <is>
          <t>●</t>
        </is>
      </c>
      <c r="L14" s="74" t="n"/>
      <c r="M14" s="74" t="n"/>
      <c r="N14" s="74" t="n"/>
      <c r="O14" s="74" t="n"/>
      <c r="P14" s="76" t="n"/>
      <c r="Q14" s="75" t="n"/>
      <c r="R14" s="60" t="n"/>
      <c r="S14" s="61" t="n">
        <v>10</v>
      </c>
      <c r="T14" s="62" t="n"/>
      <c r="U14" s="62" t="n"/>
      <c r="V14" s="62" t="n"/>
      <c r="W14" s="62" t="n"/>
      <c r="X14" s="62" t="n"/>
      <c r="Y14" s="62" t="n"/>
      <c r="Z14" s="63" t="n"/>
      <c r="AA14" s="118" t="n"/>
      <c r="AB14" t="n">
        <v>10</v>
      </c>
    </row>
    <row r="15">
      <c r="B15" s="59">
        <f>ROW()-8</f>
        <v/>
      </c>
      <c r="C15" s="40">
        <f>А3!I22</f>
        <v/>
      </c>
      <c r="D15" s="81">
        <f>А3!L22</f>
        <v/>
      </c>
      <c r="E15" s="82">
        <f>А3!M22</f>
        <v/>
      </c>
      <c r="F15" s="73" t="n"/>
      <c r="G15" s="74" t="n"/>
      <c r="H15" s="74" t="n"/>
      <c r="I15" s="74" t="n"/>
      <c r="J15" s="74" t="n"/>
      <c r="K15" s="74" t="n"/>
      <c r="L15" s="74" t="inlineStr">
        <is>
          <t>●</t>
        </is>
      </c>
      <c r="M15" s="74" t="n"/>
      <c r="N15" s="74" t="n"/>
      <c r="O15" s="74" t="n"/>
      <c r="P15" s="76" t="n"/>
      <c r="Q15" s="75" t="n"/>
      <c r="R15" s="60" t="n"/>
      <c r="S15" s="61" t="n">
        <v>10</v>
      </c>
      <c r="T15" s="62" t="n"/>
      <c r="U15" s="62" t="n"/>
      <c r="V15" s="62" t="n"/>
      <c r="W15" s="62" t="n"/>
      <c r="X15" s="62" t="n"/>
      <c r="Y15" s="62" t="n"/>
      <c r="Z15" s="63" t="n"/>
      <c r="AA15" s="118" t="n"/>
      <c r="AB15" t="n">
        <v>10</v>
      </c>
    </row>
    <row r="16">
      <c r="B16" s="59">
        <f>ROW()-8</f>
        <v/>
      </c>
      <c r="C16" s="40">
        <f>А3!I23</f>
        <v/>
      </c>
      <c r="D16" s="81">
        <f>А3!L23</f>
        <v/>
      </c>
      <c r="E16" s="82">
        <f>А3!M23</f>
        <v/>
      </c>
      <c r="F16" s="73" t="n"/>
      <c r="G16" s="74" t="n"/>
      <c r="H16" s="74" t="n"/>
      <c r="I16" s="74" t="n"/>
      <c r="J16" s="74" t="n"/>
      <c r="K16" s="74" t="n"/>
      <c r="L16" s="74" t="n"/>
      <c r="M16" s="74" t="inlineStr">
        <is>
          <t>●</t>
        </is>
      </c>
      <c r="N16" s="74" t="inlineStr">
        <is>
          <t>●</t>
        </is>
      </c>
      <c r="O16" s="74" t="n"/>
      <c r="P16" s="76" t="n"/>
      <c r="Q16" s="75" t="n"/>
      <c r="R16" s="60" t="n"/>
      <c r="S16" s="61" t="n"/>
      <c r="T16" s="62" t="n">
        <v>5</v>
      </c>
      <c r="U16" s="62" t="n"/>
      <c r="V16" s="62" t="n">
        <v>5</v>
      </c>
      <c r="W16" s="62" t="n"/>
      <c r="X16" s="62" t="n"/>
      <c r="Y16" s="62" t="n"/>
      <c r="Z16" s="64" t="n"/>
      <c r="AB16" t="n">
        <v>10</v>
      </c>
    </row>
    <row r="17">
      <c r="B17" s="59">
        <f>ROW()-8</f>
        <v/>
      </c>
      <c r="C17" s="40">
        <f>А3!I24</f>
        <v/>
      </c>
      <c r="D17" s="81">
        <f>А3!L24</f>
        <v/>
      </c>
      <c r="E17" s="82">
        <f>А3!M24</f>
        <v/>
      </c>
      <c r="F17" s="73" t="n"/>
      <c r="G17" s="74" t="n"/>
      <c r="H17" s="74" t="n"/>
      <c r="I17" s="74" t="n"/>
      <c r="J17" s="74" t="n"/>
      <c r="K17" s="74" t="n"/>
      <c r="L17" s="74" t="n"/>
      <c r="M17" s="74" t="inlineStr">
        <is>
          <t>●</t>
        </is>
      </c>
      <c r="N17" s="74" t="inlineStr">
        <is>
          <t>●</t>
        </is>
      </c>
      <c r="O17" s="74" t="inlineStr">
        <is>
          <t>●</t>
        </is>
      </c>
      <c r="P17" s="76" t="n"/>
      <c r="Q17" s="75" t="n"/>
      <c r="R17" s="60" t="n"/>
      <c r="S17" s="61" t="n"/>
      <c r="T17" s="62" t="n"/>
      <c r="U17" s="62" t="n">
        <v>15</v>
      </c>
      <c r="V17" s="62" t="n"/>
      <c r="W17" s="62" t="n"/>
      <c r="X17" s="62" t="n"/>
      <c r="Y17" s="62" t="n"/>
      <c r="Z17" s="64" t="n"/>
      <c r="AB17" t="n">
        <v>15</v>
      </c>
    </row>
    <row r="18">
      <c r="B18" s="59">
        <f>ROW()-8</f>
        <v/>
      </c>
      <c r="C18" s="40">
        <f>А3!I25</f>
        <v/>
      </c>
      <c r="D18" s="81">
        <f>А3!L25</f>
        <v/>
      </c>
      <c r="E18" s="82">
        <f>А3!M25</f>
        <v/>
      </c>
      <c r="F18" s="73" t="n"/>
      <c r="G18" s="74" t="n"/>
      <c r="H18" s="74" t="n"/>
      <c r="I18" s="74" t="n"/>
      <c r="J18" s="74" t="n"/>
      <c r="K18" s="74" t="n"/>
      <c r="L18" s="74" t="n"/>
      <c r="M18" s="74" t="n"/>
      <c r="N18" s="74" t="inlineStr">
        <is>
          <t>●</t>
        </is>
      </c>
      <c r="O18" s="74" t="inlineStr">
        <is>
          <t>●</t>
        </is>
      </c>
      <c r="P18" s="76" t="inlineStr">
        <is>
          <t>●</t>
        </is>
      </c>
      <c r="Q18" s="75" t="n"/>
      <c r="R18" s="60" t="n"/>
      <c r="S18" s="61" t="n"/>
      <c r="T18" s="62" t="n">
        <v>15</v>
      </c>
      <c r="U18" s="62" t="n"/>
      <c r="V18" s="62" t="n"/>
      <c r="W18" s="62" t="n"/>
      <c r="X18" s="62" t="n"/>
      <c r="Y18" s="62" t="n"/>
      <c r="Z18" s="64" t="n"/>
      <c r="AB18" t="n">
        <v>15</v>
      </c>
    </row>
    <row r="19">
      <c r="B19" s="59">
        <f>ROW()-8</f>
        <v/>
      </c>
      <c r="C19" s="40">
        <f>А3!I26</f>
        <v/>
      </c>
      <c r="D19" s="81">
        <f>А3!L26</f>
        <v/>
      </c>
      <c r="E19" s="82">
        <f>А3!M26</f>
        <v/>
      </c>
      <c r="F19" s="73" t="n"/>
      <c r="G19" s="74" t="n"/>
      <c r="H19" s="74" t="n"/>
      <c r="I19" s="74" t="n"/>
      <c r="J19" s="74" t="n"/>
      <c r="K19" s="74" t="n"/>
      <c r="L19" s="74" t="n"/>
      <c r="M19" s="74" t="n"/>
      <c r="N19" s="74" t="n"/>
      <c r="O19" s="74" t="inlineStr">
        <is>
          <t>●</t>
        </is>
      </c>
      <c r="P19" s="76" t="inlineStr">
        <is>
          <t>●</t>
        </is>
      </c>
      <c r="Q19" s="75" t="n"/>
      <c r="R19" s="60" t="n"/>
      <c r="S19" s="61" t="n">
        <v>5</v>
      </c>
      <c r="T19" s="62" t="n">
        <v>3</v>
      </c>
      <c r="U19" s="62" t="n"/>
      <c r="V19" s="62" t="n"/>
      <c r="W19" s="62" t="n"/>
      <c r="X19" s="62" t="n"/>
      <c r="Y19" s="62" t="n"/>
      <c r="Z19" s="63" t="n"/>
      <c r="AA19" s="118" t="n"/>
      <c r="AB19" t="n">
        <v>8</v>
      </c>
    </row>
    <row r="20" ht="15.75" customHeight="1" s="119" thickBot="1">
      <c r="B20" s="97">
        <f>ROW()-8</f>
        <v/>
      </c>
      <c r="C20" s="98">
        <f>А3!I27</f>
        <v/>
      </c>
      <c r="D20" s="81">
        <f>А3!L27</f>
        <v/>
      </c>
      <c r="E20" s="82">
        <f>А3!M27</f>
        <v/>
      </c>
      <c r="F20" s="99" t="n"/>
      <c r="G20" s="100" t="n"/>
      <c r="H20" s="100" t="n"/>
      <c r="I20" s="100" t="n"/>
      <c r="J20" s="100" t="n"/>
      <c r="K20" s="100" t="n"/>
      <c r="L20" s="100" t="n"/>
      <c r="M20" s="100" t="n"/>
      <c r="N20" s="100" t="n"/>
      <c r="O20" s="100" t="n"/>
      <c r="P20" s="101" t="n"/>
      <c r="Q20" s="102" t="inlineStr">
        <is>
          <t>●</t>
        </is>
      </c>
      <c r="R20" s="65" t="n">
        <v>3</v>
      </c>
      <c r="S20" s="66" t="n"/>
      <c r="T20" s="67" t="n"/>
      <c r="U20" s="67" t="n"/>
      <c r="V20" s="67" t="n"/>
      <c r="W20" s="67" t="n"/>
      <c r="X20" s="67" t="n"/>
      <c r="Y20" s="67" t="n"/>
      <c r="Z20" s="68" t="n"/>
      <c r="AA20" s="121" t="n"/>
      <c r="AB20" t="n">
        <v>3</v>
      </c>
    </row>
    <row r="21" ht="15.75" customHeight="1" s="119" thickBot="1">
      <c r="B21" s="183" t="inlineStr">
        <is>
          <t>ИТОГО:</t>
        </is>
      </c>
      <c r="C21" s="150" t="n"/>
      <c r="D21" s="150" t="n"/>
      <c r="E21" s="150" t="n"/>
      <c r="F21" s="150" t="n"/>
      <c r="G21" s="150" t="n"/>
      <c r="H21" s="150" t="n"/>
      <c r="I21" s="150" t="n"/>
      <c r="J21" s="150" t="n"/>
      <c r="K21" s="150" t="n"/>
      <c r="L21" s="150" t="n"/>
      <c r="M21" s="150" t="n"/>
      <c r="N21" s="150" t="n"/>
      <c r="O21" s="150" t="n"/>
      <c r="P21" s="150" t="n"/>
      <c r="Q21" s="184" t="n"/>
      <c r="R21" s="70" t="n">
        <v>3</v>
      </c>
      <c r="S21" s="71" t="n">
        <v>65</v>
      </c>
      <c r="T21" s="71" t="n">
        <v>38</v>
      </c>
      <c r="U21" s="71" t="n">
        <v>25</v>
      </c>
      <c r="V21" s="71" t="n">
        <v>5</v>
      </c>
      <c r="W21" s="71">
        <f>SUM(W9:W20)</f>
        <v/>
      </c>
      <c r="X21" s="71">
        <f>SUM(X9:X20)</f>
        <v/>
      </c>
      <c r="Y21" s="71">
        <f>SUM(Y9:Y20)</f>
        <v/>
      </c>
      <c r="Z21" s="71">
        <f>SUM(Z9:Z20)</f>
        <v/>
      </c>
      <c r="AA21" s="72">
        <f>SUM(R21:Z21)</f>
        <v/>
      </c>
      <c r="AB21" t="n">
        <v>136</v>
      </c>
    </row>
  </sheetData>
  <mergeCells count="9">
    <mergeCell ref="R7:Z7"/>
    <mergeCell ref="D7:E7"/>
    <mergeCell ref="C5:Q5"/>
    <mergeCell ref="C7:C8"/>
    <mergeCell ref="B7:B8"/>
    <mergeCell ref="B21:Q21"/>
    <mergeCell ref="B2:Q2"/>
    <mergeCell ref="C4:Q4"/>
    <mergeCell ref="F7:Q7"/>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E27"/>
  <sheetViews>
    <sheetView tabSelected="1" workbookViewId="0">
      <selection activeCell="D25" sqref="D25"/>
    </sheetView>
  </sheetViews>
  <sheetFormatPr baseColWidth="10" defaultColWidth="8.83203125" defaultRowHeight="15"/>
  <cols>
    <col width="50.6640625" customWidth="1" style="119" min="3" max="3"/>
    <col width="15.6640625" customWidth="1" style="119" min="4" max="5"/>
  </cols>
  <sheetData>
    <row r="2" ht="23.25" customHeight="1" s="119">
      <c r="B2" s="185" t="inlineStr">
        <is>
          <t>Бюджет проекта</t>
        </is>
      </c>
    </row>
    <row r="4" ht="15.75" customHeight="1" s="119">
      <c r="B4" s="53" t="inlineStr">
        <is>
          <t xml:space="preserve">Проект: </t>
        </is>
      </c>
      <c r="C4" s="186">
        <f>А3!F2</f>
        <v/>
      </c>
      <c r="D4" s="153" t="n"/>
      <c r="E4" s="153" t="n"/>
    </row>
    <row r="5" ht="15.75" customHeight="1" s="119">
      <c r="B5" s="53" t="inlineStr">
        <is>
          <t>Шифр:</t>
        </is>
      </c>
      <c r="C5" s="189">
        <f>А3!D3</f>
        <v/>
      </c>
      <c r="D5" s="153" t="n"/>
      <c r="E5" s="153" t="n"/>
    </row>
    <row r="7">
      <c r="B7" s="188" t="inlineStr">
        <is>
          <t>№</t>
        </is>
      </c>
      <c r="C7" s="188" t="inlineStr">
        <is>
          <t>Задача</t>
        </is>
      </c>
      <c r="D7" s="188" t="inlineStr">
        <is>
          <t>Затраты, руб.</t>
        </is>
      </c>
      <c r="E7" s="129" t="n"/>
    </row>
    <row r="8" ht="45" customHeight="1" s="119">
      <c r="B8" s="191" t="n"/>
      <c r="C8" s="191" t="n"/>
      <c r="D8" s="83" t="inlineStr">
        <is>
          <t>Закупки, руб.</t>
        </is>
      </c>
      <c r="E8" s="83" t="inlineStr">
        <is>
          <t>Внешний исполнитель (аутсорсинг)</t>
        </is>
      </c>
    </row>
    <row r="9" ht="16" customHeight="1" s="119">
      <c r="B9" s="84" t="inlineStr">
        <is>
          <t>Раздел 1</t>
        </is>
      </c>
      <c r="C9" s="85" t="inlineStr">
        <is>
          <t>ЗАТРАТЫ ПО ЗАДАЧАМ:</t>
        </is>
      </c>
      <c r="D9" s="92">
        <f>SUM(D10:D21)</f>
        <v/>
      </c>
      <c r="E9" s="92">
        <f>SUM(E10:E21)</f>
        <v/>
      </c>
    </row>
    <row r="10" ht="16" customHeight="1" s="119">
      <c r="B10" s="103">
        <f>ROW()-9</f>
        <v/>
      </c>
      <c r="C10" s="86">
        <f>А3!I16</f>
        <v/>
      </c>
      <c r="D10" s="93" t="n"/>
      <c r="E10" s="93" t="n"/>
    </row>
    <row r="11" ht="16" customHeight="1" s="119">
      <c r="B11" s="103">
        <f>ROW()-9</f>
        <v/>
      </c>
      <c r="C11" s="86">
        <f>А3!I17</f>
        <v/>
      </c>
      <c r="D11" s="93" t="n"/>
      <c r="E11" s="93" t="n"/>
    </row>
    <row r="12" ht="16" customHeight="1" s="119">
      <c r="B12" s="103">
        <f>ROW()-9</f>
        <v/>
      </c>
      <c r="C12" s="86">
        <f>А3!I18</f>
        <v/>
      </c>
      <c r="D12" s="93" t="n"/>
      <c r="E12" s="93" t="n"/>
    </row>
    <row r="13" ht="16" customHeight="1" s="119">
      <c r="B13" s="103">
        <f>ROW()-9</f>
        <v/>
      </c>
      <c r="C13" s="86">
        <f>А3!I19</f>
        <v/>
      </c>
      <c r="D13" s="93" t="n"/>
      <c r="E13" s="93" t="n"/>
    </row>
    <row r="14" ht="16" customHeight="1" s="119">
      <c r="B14" s="103">
        <f>ROW()-9</f>
        <v/>
      </c>
      <c r="C14" s="86">
        <f>А3!I20</f>
        <v/>
      </c>
      <c r="D14" s="93" t="n"/>
      <c r="E14" s="93" t="n"/>
    </row>
    <row r="15" ht="16" customHeight="1" s="119">
      <c r="B15" s="103">
        <f>ROW()-9</f>
        <v/>
      </c>
      <c r="C15" s="86">
        <f>А3!I21</f>
        <v/>
      </c>
      <c r="D15" s="93" t="n"/>
      <c r="E15" s="93" t="n"/>
    </row>
    <row r="16" ht="32" customHeight="1" s="119">
      <c r="B16" s="103">
        <f>ROW()-9</f>
        <v/>
      </c>
      <c r="C16" s="86">
        <f>А3!I22</f>
        <v/>
      </c>
      <c r="D16" s="93" t="n"/>
      <c r="E16" s="93" t="n"/>
    </row>
    <row r="17" ht="16" customHeight="1" s="119">
      <c r="B17" s="103">
        <f>ROW()-9</f>
        <v/>
      </c>
      <c r="C17" s="86">
        <f>А3!I23</f>
        <v/>
      </c>
      <c r="D17" s="93" t="n"/>
      <c r="E17" s="93" t="n"/>
    </row>
    <row r="18" ht="16" customHeight="1" s="119">
      <c r="B18" s="103">
        <f>ROW()-9</f>
        <v/>
      </c>
      <c r="C18" s="86">
        <f>А3!I24</f>
        <v/>
      </c>
      <c r="D18" s="93" t="n"/>
      <c r="E18" s="93" t="n"/>
    </row>
    <row r="19" ht="16" customHeight="1" s="119">
      <c r="B19" s="103">
        <f>ROW()-9</f>
        <v/>
      </c>
      <c r="C19" s="86">
        <f>А3!I25</f>
        <v/>
      </c>
      <c r="D19" s="93" t="n"/>
      <c r="E19" s="93" t="n"/>
    </row>
    <row r="20" ht="16" customHeight="1" s="119">
      <c r="B20" s="103">
        <f>ROW()-9</f>
        <v/>
      </c>
      <c r="C20" s="86">
        <f>А3!I26</f>
        <v/>
      </c>
      <c r="D20" s="93" t="n"/>
      <c r="E20" s="93" t="n"/>
    </row>
    <row r="21" ht="16" customHeight="1" s="119">
      <c r="B21" s="103">
        <f>ROW()-9</f>
        <v/>
      </c>
      <c r="C21" s="86">
        <f>А3!I27</f>
        <v/>
      </c>
      <c r="D21" s="93" t="n"/>
      <c r="E21" s="94" t="n"/>
    </row>
    <row r="22" ht="16" customHeight="1" s="119">
      <c r="B22" s="87" t="inlineStr">
        <is>
          <t>Раздел 2</t>
        </is>
      </c>
      <c r="C22" s="88" t="inlineStr">
        <is>
          <t>ОБЩИЕ ЗАТРАТЫ ПО ПРОЕКТУ:</t>
        </is>
      </c>
      <c r="D22" s="95">
        <f>SUM(D23:D25)</f>
        <v/>
      </c>
      <c r="E22" s="95">
        <f>SUM(E23:E25)</f>
        <v/>
      </c>
    </row>
    <row r="23">
      <c r="B23" s="89" t="n">
        <v>1</v>
      </c>
      <c r="C23" s="90" t="inlineStr">
        <is>
          <t>Подписка Claude AI (100 EUR/мес × ~100 ₽ × 10 мес)</t>
        </is>
      </c>
      <c r="D23" s="93" t="n">
        <v>100000</v>
      </c>
      <c r="E23" s="93" t="n"/>
    </row>
    <row r="24">
      <c r="B24" s="89" t="n">
        <v>2</v>
      </c>
      <c r="C24" s="90" t="inlineStr">
        <is>
          <t>Сервер VPS для развёртывания системы (~2 000 ₽/мес × 8 мес)</t>
        </is>
      </c>
      <c r="D24" s="93" t="n">
        <v>16000</v>
      </c>
      <c r="E24" s="93" t="n"/>
    </row>
    <row r="25">
      <c r="B25" s="89" t="n">
        <v>3</v>
      </c>
      <c r="C25" s="90" t="inlineStr">
        <is>
          <t>Резервный фонд на непредвиденные расходы</t>
        </is>
      </c>
      <c r="D25" s="93" t="n">
        <v>12000</v>
      </c>
      <c r="E25" s="93" t="n"/>
    </row>
    <row r="26">
      <c r="B26" s="192" t="inlineStr">
        <is>
          <t>ИТОГО:</t>
        </is>
      </c>
      <c r="D26" s="96">
        <f>D9+D22</f>
        <v/>
      </c>
      <c r="E26" s="96">
        <f>E9+E22</f>
        <v/>
      </c>
    </row>
    <row r="27" ht="16" customHeight="1" s="119">
      <c r="C27" s="91" t="inlineStr">
        <is>
          <t>БЮДЖЕТ ПРОЕКТА:</t>
        </is>
      </c>
      <c r="D27" s="190">
        <f>D26+E26</f>
        <v/>
      </c>
      <c r="E27" s="116" t="n"/>
    </row>
  </sheetData>
  <mergeCells count="8">
    <mergeCell ref="B2:C2"/>
    <mergeCell ref="D7:E7"/>
    <mergeCell ref="C5:E5"/>
    <mergeCell ref="D27:E27"/>
    <mergeCell ref="C7:C8"/>
    <mergeCell ref="C4:E4"/>
    <mergeCell ref="B7:B8"/>
    <mergeCell ref="B26:C26"/>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Христофоров Константин Алексеевич</dc:creator>
  <dcterms:created xsi:type="dcterms:W3CDTF">2015-06-05T18:19:34Z</dcterms:created>
  <dcterms:modified xsi:type="dcterms:W3CDTF">2026-04-15T19:26:21Z</dcterms:modified>
  <cp:lastModifiedBy>Людмила</cp:lastModifiedBy>
  <cp:lastPrinted>2023-08-31T11:05:28Z</cp:lastPrinted>
</cp:coreProperties>
</file>