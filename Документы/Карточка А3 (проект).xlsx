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liudmila/Проект &quot;Нормирование&quot;/Документы/"/>
    </mc:Choice>
  </mc:AlternateContent>
  <xr:revisionPtr revIDLastSave="0" documentId="13_ncr:1_{4D374584-A531-8542-A564-BE4C2DDC14D7}" xr6:coauthVersionLast="47" xr6:coauthVersionMax="47" xr10:uidLastSave="{00000000-0000-0000-0000-000000000000}"/>
  <bookViews>
    <workbookView xWindow="0" yWindow="740" windowWidth="29040" windowHeight="15840" activeTab="2" xr2:uid="{00000000-000D-0000-FFFF-FFFF00000000}"/>
  </bookViews>
  <sheets>
    <sheet name="А3" sheetId="1" r:id="rId1"/>
    <sheet name="Ресурсы" sheetId="2" r:id="rId2"/>
    <sheet name="Бюдже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D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E9" i="3"/>
  <c r="E26" i="3" s="1"/>
  <c r="D9" i="3"/>
  <c r="D26" i="3" s="1"/>
  <c r="D27" i="3" s="1"/>
  <c r="C5" i="3"/>
  <c r="C4" i="3"/>
  <c r="Z21" i="2"/>
  <c r="Y21" i="2"/>
  <c r="X21" i="2"/>
  <c r="W21" i="2"/>
  <c r="V21" i="2"/>
  <c r="U21" i="2"/>
  <c r="T21" i="2"/>
  <c r="S21" i="2"/>
  <c r="R21" i="2"/>
  <c r="AA21" i="2" s="1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C5" i="2"/>
  <c r="C4" i="2"/>
</calcChain>
</file>

<file path=xl/sharedStrings.xml><?xml version="1.0" encoding="utf-8"?>
<sst xmlns="http://schemas.openxmlformats.org/spreadsheetml/2006/main" count="210" uniqueCount="162">
  <si>
    <t>Карточка А3. Утверждено решением Совета директоров 11.08.2023 г.</t>
  </si>
  <si>
    <t>ПРОЕКТ 
А3</t>
  </si>
  <si>
    <t>Улучшение процессов</t>
  </si>
  <si>
    <t>Название проекта:</t>
  </si>
  <si>
    <t>Автоматизация нормирования трудозатрат
на производственные операции</t>
  </si>
  <si>
    <t>Дата начала:
01.03.2026 г.</t>
  </si>
  <si>
    <t>Дата окончания:
30.06.2026 г.</t>
  </si>
  <si>
    <t>Присваивается Проектным офисом</t>
  </si>
  <si>
    <t>Заказчик:</t>
  </si>
  <si>
    <t>Генеральный директор
ООО «Технопарк Импульс»</t>
  </si>
  <si>
    <t>Виноградов И.А.</t>
  </si>
  <si>
    <t>Генеральный директор</t>
  </si>
  <si>
    <t>Трудозатраты:
80 чел./дн.</t>
  </si>
  <si>
    <t>Бюджет:
350 000 руб.</t>
  </si>
  <si>
    <t>Исполнитель (СБЕ, подразделение):</t>
  </si>
  <si>
    <t>Узун Л.И. (ведущий разработчик), Егоров П.А. (бизнес-аналитик), Ванюков В. (инженер-конструктор)</t>
  </si>
  <si>
    <t>ОПИСАНИЕ ПРОБЛЕМНОЙ СИТУАЦИИ (как есть)</t>
  </si>
  <si>
    <t>ПРЕДЛАГАЕМЫЕ РЕШЕНИЯ</t>
  </si>
  <si>
    <t>На предприятии ООО «Технопарк Импульс» нормирование трудозатрат на производственные операции выполняется вручную.
Основные проблемы:
• Расчёт норм (t_шт, t_пз) на одно изделие занимает 2–4 часа
• Результат зависит от квалификации и опыта конкретного нормировщика
• Отсутствует единая структурированная база типовых маршрутов
• При ручном расчёте возникают ошибки в 15–20% случаев
• Нет автоматической проверки соответствия норм требованиям ГОСТ
• Длительный цикл «чертёж → нормы» замедляет запуск изделий в производство</t>
  </si>
  <si>
    <t>Разработка веб-приложения для автоматического расчёта норм времени с использованием технологий ИИ (Claude AI).
Ключевые решения:
• Конвейер из 6 этапов: извлечение фактов → фильтрация маршрутов → выбор маршрута → подбор оборудования → расчёт норм → валидация
• Код управляет процессом, ИИ помогает на узких этапах (анализ чертежа, расчёт)
• Каталог 236 типовых маршрутов и 254 единиц оборудования
• Двухуровневый кэш (память + SQLite) для ускорения повторных запросов
• Автоматическая проверка результатов по правилам и ГОСТ</t>
  </si>
  <si>
    <t>ЦЕЛИ ПРОЕКТА (как должно быть)</t>
  </si>
  <si>
    <t>ЭФФЕКТ ОТ РЕАЛИЗАЦИИ ПРОЕКТА</t>
  </si>
  <si>
    <t>1. Сократить время нормирования одного изделия с 2–4 часов до 15–30 минут
2. Снизить долю ошибок в расчёте норм с 15–20% до менее 5%
3. Создать единую базу типовых маршрутов (236 маршрутов) и оборудования (254 ед.)
4. Обеспечить автоматическую валидацию результатов по ГОСТ
5. Обеспечить два режима работы: с готовой маршрутной картой и автоподбор маршрута</t>
  </si>
  <si>
    <t>Параметр</t>
  </si>
  <si>
    <t>Качественная оценка</t>
  </si>
  <si>
    <t>Описание</t>
  </si>
  <si>
    <t>Увеличение прибыли</t>
  </si>
  <si>
    <t>Высокая</t>
  </si>
  <si>
    <t>Ускорение запуска изделий в производство за счёт сокращения цикла нормирования в 5–8 раз</t>
  </si>
  <si>
    <t>Снижение затрат</t>
  </si>
  <si>
    <t>Сокращение трудозатрат на нормирование: с 2–4 ч до 15–30 мин на изделие. Высвобождение ресурса нормировщиков</t>
  </si>
  <si>
    <t>Снижение рисков</t>
  </si>
  <si>
    <t>Средняя</t>
  </si>
  <si>
    <t>Снижение доли ошибок при расчёте норм с 15–20% до менее 5%. Автоматическая валидация по ГОСТ</t>
  </si>
  <si>
    <t>Дополнительная информация: система поддерживает анализ чертежей в PDF, формирование замечаний по ГОСТ, хранение истории расчётов</t>
  </si>
  <si>
    <t>Оценка рисков проекта</t>
  </si>
  <si>
    <t>ПЛАН МЕРОПРИЯТИЙ</t>
  </si>
  <si>
    <t>Возможный риск</t>
  </si>
  <si>
    <t>Возможные последствия проблемы/влияние на результат</t>
  </si>
  <si>
    <t>Степень влияния на результат</t>
  </si>
  <si>
    <t>Вероятность возникновения</t>
  </si>
  <si>
    <t>Сложность обнаружения</t>
  </si>
  <si>
    <t>Степень риска</t>
  </si>
  <si>
    <t>№</t>
  </si>
  <si>
    <t>Мероприятие</t>
  </si>
  <si>
    <t>Ответственный</t>
  </si>
  <si>
    <t>Начало</t>
  </si>
  <si>
    <t>Окончание</t>
  </si>
  <si>
    <t>Результат</t>
  </si>
  <si>
    <t>Недостаточная точность расчётов ИИ</t>
  </si>
  <si>
    <t>Некорректные нормы → перерасход или недозагрузка производства</t>
  </si>
  <si>
    <t>Низкая</t>
  </si>
  <si>
    <t>Анализ текущего процесса нормирования</t>
  </si>
  <si>
    <t>Егоров П.А.</t>
  </si>
  <si>
    <t>01.03.2026</t>
  </si>
  <si>
    <t>14.03.2026</t>
  </si>
  <si>
    <t>Отчёт об обследовании</t>
  </si>
  <si>
    <t>Неполнота базы типовых маршрутов</t>
  </si>
  <si>
    <t>Невозможность автоматического нормирования нетиповых изделий</t>
  </si>
  <si>
    <t>Сбор и структурирование типовых маршрутов (236 шт.)</t>
  </si>
  <si>
    <t>Ванюков В.</t>
  </si>
  <si>
    <t>21.03.2026</t>
  </si>
  <si>
    <t>База маршрутов в Excel</t>
  </si>
  <si>
    <t>Сопротивление персонала</t>
  </si>
  <si>
    <t>Отказ нормировщиков от использования системы</t>
  </si>
  <si>
    <t>Формирование базы оборудования (254 ед.)</t>
  </si>
  <si>
    <t>07.03.2026</t>
  </si>
  <si>
    <t>28.03.2026</t>
  </si>
  <si>
    <t>База оборудования в Excel</t>
  </si>
  <si>
    <t>Изменение требований ГОСТ</t>
  </si>
  <si>
    <t>Необходимость доработки правил валидации</t>
  </si>
  <si>
    <t>Разработка архитектуры приложения</t>
  </si>
  <si>
    <t>Узун Л.И.</t>
  </si>
  <si>
    <t>10.03.2026</t>
  </si>
  <si>
    <t>Архитектура утверждена</t>
  </si>
  <si>
    <t>Разработка конвейера обработки (6 этапов)</t>
  </si>
  <si>
    <t>22.03.2026</t>
  </si>
  <si>
    <t>18.04.2026</t>
  </si>
  <si>
    <t>Рабочий конвейер</t>
  </si>
  <si>
    <t>Интеграция с ИИ (Claude AI)</t>
  </si>
  <si>
    <t>01.04.2026</t>
  </si>
  <si>
    <t>Промпты настроены</t>
  </si>
  <si>
    <t>Разработка веб-интерфейса</t>
  </si>
  <si>
    <t>13.04.2026</t>
  </si>
  <si>
    <t>30.04.2026</t>
  </si>
  <si>
    <t>Веб-приложение</t>
  </si>
  <si>
    <t>Оценка показателей текущего состояния и определение целевых значений</t>
  </si>
  <si>
    <t>Тестирование на реальных чертежах</t>
  </si>
  <si>
    <t>01.05.2026</t>
  </si>
  <si>
    <t>22.05.2026</t>
  </si>
  <si>
    <t>Протокол тестирования</t>
  </si>
  <si>
    <t>Показатель</t>
  </si>
  <si>
    <t>Период</t>
  </si>
  <si>
    <t>Текущее значение</t>
  </si>
  <si>
    <t>Требуемое значение</t>
  </si>
  <si>
    <t>Валидация результатов с нормировщиками</t>
  </si>
  <si>
    <t>11.05.2026</t>
  </si>
  <si>
    <t>29.05.2026</t>
  </si>
  <si>
    <t>Акт валидации</t>
  </si>
  <si>
    <t>Время нормирования одного изделия</t>
  </si>
  <si>
    <t>Март 2026</t>
  </si>
  <si>
    <t>2–4 часа</t>
  </si>
  <si>
    <t>15–30 мин</t>
  </si>
  <si>
    <t>Доработка по результатам тестирования</t>
  </si>
  <si>
    <t>18.05.2026</t>
  </si>
  <si>
    <t>05.06.2026</t>
  </si>
  <si>
    <t>Исправления внесены</t>
  </si>
  <si>
    <t>Доля ошибок в расчёте норм</t>
  </si>
  <si>
    <t>15–20%</t>
  </si>
  <si>
    <t>Менее 5%</t>
  </si>
  <si>
    <t>Обучение пользователей</t>
  </si>
  <si>
    <t>01.06.2026</t>
  </si>
  <si>
    <t>12.06.2026</t>
  </si>
  <si>
    <t>Журнал обучения</t>
  </si>
  <si>
    <t>Охват типовых маршрутов в базе</t>
  </si>
  <si>
    <t>0 (ручной подбор)</t>
  </si>
  <si>
    <t>236 маршрутов</t>
  </si>
  <si>
    <t>Ввод в опытную эксплуатацию</t>
  </si>
  <si>
    <t>15.06.2026</t>
  </si>
  <si>
    <t>30.06.2026</t>
  </si>
  <si>
    <t>Приказ о вводе</t>
  </si>
  <si>
    <t>АНАЛИЗ ПРОБЛЕМЫ</t>
  </si>
  <si>
    <t>РЕЗУЛЬТАТЫ ПРОЕКТА</t>
  </si>
  <si>
    <t>КОРНЕВЫЕ ПРИЧИНЫ:
1. Отсутствие цифровых инструментов нормирования
   → Нормировщики работают с бумажными справочниками и калькулятором
2. Нет единой базы типовых технологических маршрутов
   → Каждый нормировщик подбирает маршрут по личному опыту
3. Ручной подбор оборудования и режимов обработки
   → Трудоёмкий процесс, зависящий от квалификации сотрудника
4. Отсутствие автоматической проверки результатов
   → Ошибки обнаруживаются только на этапе производства
5. Нет преемственности знаний
   → При уходе опытного нормировщика теряется экспертиза</t>
  </si>
  <si>
    <t>Проект может считаться успешно завершённым при выполнении следующих условий:
1. Веб-приложение развёрнуто и доступно пользователям на порту 5050
2. База содержит не менее 236 типовых маршрутов и 254 единицы оборудования
3. Время расчёта норм для одного изделия не превышает 30 минут
4. Система работает в двух режимах: с маршрутной картой и автоподбор
5. Реализована автоматическая валидация результатов по ГОСТ
6. Проведено обучение не менее 3 сотрудников
7. Результаты валидации подтверждены нормировщиками предприятия</t>
  </si>
  <si>
    <t>ПОКАЗАТЕЛИ ЭФФЕКТИВНОСТИ ПРОЕКТА</t>
  </si>
  <si>
    <t>План</t>
  </si>
  <si>
    <t>Факт</t>
  </si>
  <si>
    <t>Отклонение</t>
  </si>
  <si>
    <t>Степень удовлетворённости</t>
  </si>
  <si>
    <t>Сроки (разница в календарных днях)</t>
  </si>
  <si>
    <t>01.03–30.06.2026</t>
  </si>
  <si>
    <t>Стоимость (разница в рублях)</t>
  </si>
  <si>
    <t>350 000</t>
  </si>
  <si>
    <t>Трудозатрат, чел./дн.</t>
  </si>
  <si>
    <t>80</t>
  </si>
  <si>
    <t>Качество (все ли целевые показатели достигнуты)</t>
  </si>
  <si>
    <t>Да</t>
  </si>
  <si>
    <t>ИТОГО:</t>
  </si>
  <si>
    <t>ПРОЕКТ ОДОБРЕН</t>
  </si>
  <si>
    <t>ПРОЕКТ ПРИНЯТ</t>
  </si>
  <si>
    <t>подпись</t>
  </si>
  <si>
    <t>Ф.И.О.</t>
  </si>
  <si>
    <t>дата</t>
  </si>
  <si>
    <t>Ресурсный план</t>
  </si>
  <si>
    <t xml:space="preserve">Проект: </t>
  </si>
  <si>
    <t>Шифр:</t>
  </si>
  <si>
    <t>Задача</t>
  </si>
  <si>
    <t>Сроки выполнения</t>
  </si>
  <si>
    <t>Гант (мес.)</t>
  </si>
  <si>
    <t>Ресурсы (чел./дн.)</t>
  </si>
  <si>
    <t>Руководитель проекта</t>
  </si>
  <si>
    <t>Бюджет проекта</t>
  </si>
  <si>
    <t>Затраты, руб.</t>
  </si>
  <si>
    <t>Закупки, руб.</t>
  </si>
  <si>
    <t>Внешний исполнитель (аутсорсинг)</t>
  </si>
  <si>
    <t>Раздел 1</t>
  </si>
  <si>
    <t>ЗАТРАТЫ ПО ЗАДАЧАМ:</t>
  </si>
  <si>
    <t>Раздел 2</t>
  </si>
  <si>
    <t>ОБЩИЕ ЗАТРАТЫ ПО ПРОЕКТУ:</t>
  </si>
  <si>
    <t>БЮДЖЕТ ПРОЕКТА:</t>
  </si>
  <si>
    <t>Управление качеством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</si>
</sst>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  <charset val="204"/>
    </font>
    <font>
      <sz val="8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3" fillId="0" borderId="0"/>
  </cellStyleXfs>
  <cellXfs count="193">
    <xf numFmtId="0" fontId="0" fillId="0" borderId="0" xfId="0"/>
    <xf numFmtId="49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5" xfId="0" applyFont="1" applyBorder="1"/>
    <xf numFmtId="0" fontId="0" fillId="0" borderId="12" xfId="0" applyBorder="1"/>
    <xf numFmtId="49" fontId="11" fillId="3" borderId="11" xfId="0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18" xfId="0" applyBorder="1"/>
    <xf numFmtId="0" fontId="0" fillId="0" borderId="9" xfId="0" applyBorder="1"/>
    <xf numFmtId="0" fontId="5" fillId="0" borderId="14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10" fillId="3" borderId="22" xfId="0" applyNumberFormat="1" applyFont="1" applyFill="1" applyBorder="1" applyAlignment="1">
      <alignment horizontal="center" vertical="center" wrapText="1"/>
    </xf>
    <xf numFmtId="0" fontId="7" fillId="0" borderId="24" xfId="0" applyFont="1" applyBorder="1"/>
    <xf numFmtId="0" fontId="5" fillId="0" borderId="25" xfId="0" applyFont="1" applyBorder="1" applyAlignment="1">
      <alignment horizontal="center" vertical="top"/>
    </xf>
    <xf numFmtId="49" fontId="8" fillId="0" borderId="20" xfId="0" applyNumberFormat="1" applyFont="1" applyBorder="1" applyAlignment="1">
      <alignment horizontal="left" vertical="top" wrapText="1"/>
    </xf>
    <xf numFmtId="49" fontId="7" fillId="0" borderId="29" xfId="0" applyNumberFormat="1" applyFont="1" applyBorder="1" applyAlignment="1">
      <alignment horizontal="left" vertical="top" wrapText="1"/>
    </xf>
    <xf numFmtId="49" fontId="8" fillId="0" borderId="30" xfId="0" applyNumberFormat="1" applyFont="1" applyBorder="1" applyAlignment="1">
      <alignment horizontal="left" vertical="top" wrapText="1"/>
    </xf>
    <xf numFmtId="49" fontId="7" fillId="0" borderId="31" xfId="0" applyNumberFormat="1" applyFont="1" applyBorder="1" applyAlignment="1">
      <alignment horizontal="left" vertical="top" wrapText="1"/>
    </xf>
    <xf numFmtId="49" fontId="8" fillId="0" borderId="30" xfId="0" applyNumberFormat="1" applyFont="1" applyBorder="1" applyAlignment="1">
      <alignment horizontal="left" vertical="top"/>
    </xf>
    <xf numFmtId="49" fontId="8" fillId="0" borderId="20" xfId="0" applyNumberFormat="1" applyFont="1" applyBorder="1" applyAlignment="1">
      <alignment horizontal="left" vertical="top"/>
    </xf>
    <xf numFmtId="49" fontId="7" fillId="0" borderId="32" xfId="0" applyNumberFormat="1" applyFont="1" applyBorder="1" applyAlignment="1">
      <alignment horizontal="left" vertical="top" wrapText="1"/>
    </xf>
    <xf numFmtId="49" fontId="10" fillId="3" borderId="2" xfId="0" applyNumberFormat="1" applyFont="1" applyFill="1" applyBorder="1" applyAlignment="1">
      <alignment horizontal="center" vertical="center" wrapText="1"/>
    </xf>
    <xf numFmtId="49" fontId="11" fillId="3" borderId="22" xfId="0" applyNumberFormat="1" applyFont="1" applyFill="1" applyBorder="1" applyAlignment="1">
      <alignment horizontal="right" vertical="center" wrapText="1"/>
    </xf>
    <xf numFmtId="1" fontId="7" fillId="0" borderId="11" xfId="0" applyNumberFormat="1" applyFont="1" applyBorder="1" applyAlignment="1">
      <alignment horizontal="center" vertical="center"/>
    </xf>
    <xf numFmtId="0" fontId="7" fillId="0" borderId="35" xfId="0" applyFont="1" applyBorder="1"/>
    <xf numFmtId="0" fontId="5" fillId="0" borderId="36" xfId="0" applyFont="1" applyBorder="1" applyAlignment="1">
      <alignment horizontal="center" vertical="top"/>
    </xf>
    <xf numFmtId="49" fontId="8" fillId="0" borderId="33" xfId="0" applyNumberFormat="1" applyFont="1" applyBorder="1" applyAlignment="1">
      <alignment horizontal="left" vertical="top"/>
    </xf>
    <xf numFmtId="49" fontId="11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10" fillId="3" borderId="11" xfId="0" applyNumberFormat="1" applyFont="1" applyFill="1" applyBorder="1" applyAlignment="1">
      <alignment horizontal="center" vertical="center"/>
    </xf>
    <xf numFmtId="1" fontId="7" fillId="0" borderId="3" xfId="0" applyNumberFormat="1" applyFont="1" applyBorder="1" applyAlignment="1">
      <alignment horizontal="right" vertical="top"/>
    </xf>
    <xf numFmtId="1" fontId="7" fillId="0" borderId="22" xfId="0" applyNumberFormat="1" applyFont="1" applyBorder="1" applyAlignment="1">
      <alignment horizontal="right" vertical="top"/>
    </xf>
    <xf numFmtId="49" fontId="7" fillId="0" borderId="11" xfId="0" applyNumberFormat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left" vertical="top" wrapText="1"/>
    </xf>
    <xf numFmtId="49" fontId="15" fillId="0" borderId="2" xfId="0" applyNumberFormat="1" applyFont="1" applyBorder="1" applyAlignment="1">
      <alignment horizontal="left" vertical="top" wrapText="1"/>
    </xf>
    <xf numFmtId="49" fontId="15" fillId="0" borderId="11" xfId="0" applyNumberFormat="1" applyFont="1" applyBorder="1" applyAlignment="1">
      <alignment horizontal="left" vertical="top"/>
    </xf>
    <xf numFmtId="49" fontId="15" fillId="0" borderId="11" xfId="0" applyNumberFormat="1" applyFont="1" applyBorder="1" applyAlignment="1">
      <alignment horizontal="left" vertical="center"/>
    </xf>
    <xf numFmtId="49" fontId="15" fillId="0" borderId="11" xfId="0" applyNumberFormat="1" applyFont="1" applyBorder="1" applyAlignment="1">
      <alignment horizontal="left" vertical="center" wrapText="1"/>
    </xf>
    <xf numFmtId="49" fontId="15" fillId="0" borderId="2" xfId="0" applyNumberFormat="1" applyFont="1" applyBorder="1" applyAlignment="1">
      <alignment horizontal="left" vertical="center"/>
    </xf>
    <xf numFmtId="14" fontId="15" fillId="0" borderId="1" xfId="0" applyNumberFormat="1" applyFont="1" applyBorder="1" applyAlignment="1">
      <alignment horizontal="center" vertical="top"/>
    </xf>
    <xf numFmtId="49" fontId="14" fillId="0" borderId="29" xfId="0" applyNumberFormat="1" applyFont="1" applyBorder="1" applyAlignment="1">
      <alignment horizontal="left" vertical="top" wrapText="1"/>
    </xf>
    <xf numFmtId="0" fontId="18" fillId="0" borderId="0" xfId="0" applyFont="1" applyAlignment="1">
      <alignment horizontal="left" vertical="center"/>
    </xf>
    <xf numFmtId="0" fontId="9" fillId="2" borderId="22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17" fontId="9" fillId="2" borderId="1" xfId="0" applyNumberFormat="1" applyFont="1" applyFill="1" applyBorder="1" applyAlignment="1">
      <alignment horizontal="center" vertical="center"/>
    </xf>
    <xf numFmtId="17" fontId="9" fillId="2" borderId="3" xfId="0" applyNumberFormat="1" applyFont="1" applyFill="1" applyBorder="1" applyAlignment="1">
      <alignment horizontal="center" vertical="center"/>
    </xf>
    <xf numFmtId="17" fontId="9" fillId="2" borderId="2" xfId="0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right" vertical="top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9" xfId="0" applyBorder="1"/>
    <xf numFmtId="1" fontId="16" fillId="4" borderId="23" xfId="0" applyNumberFormat="1" applyFont="1" applyFill="1" applyBorder="1" applyAlignment="1">
      <alignment horizontal="center" vertical="center"/>
    </xf>
    <xf numFmtId="1" fontId="16" fillId="4" borderId="13" xfId="0" applyNumberFormat="1" applyFont="1" applyFill="1" applyBorder="1" applyAlignment="1">
      <alignment horizontal="center" vertical="center"/>
    </xf>
    <xf numFmtId="1" fontId="19" fillId="4" borderId="29" xfId="0" applyNumberFormat="1" applyFont="1" applyFill="1" applyBorder="1" applyAlignment="1">
      <alignment horizontal="center" vertical="center"/>
    </xf>
    <xf numFmtId="0" fontId="0" fillId="0" borderId="22" xfId="0" applyBorder="1"/>
    <xf numFmtId="0" fontId="0" fillId="0" borderId="1" xfId="0" applyBorder="1"/>
    <xf numFmtId="0" fontId="0" fillId="0" borderId="11" xfId="0" applyBorder="1"/>
    <xf numFmtId="0" fontId="0" fillId="0" borderId="2" xfId="0" applyBorder="1"/>
    <xf numFmtId="0" fontId="13" fillId="2" borderId="22" xfId="0" applyFont="1" applyFill="1" applyBorder="1" applyAlignment="1">
      <alignment horizontal="center" textRotation="90" wrapText="1"/>
    </xf>
    <xf numFmtId="0" fontId="13" fillId="2" borderId="4" xfId="0" applyFont="1" applyFill="1" applyBorder="1" applyAlignment="1">
      <alignment horizontal="center" textRotation="90" wrapText="1"/>
    </xf>
    <xf numFmtId="0" fontId="13" fillId="2" borderId="1" xfId="0" applyFont="1" applyFill="1" applyBorder="1" applyAlignment="1">
      <alignment horizontal="center" textRotation="90" wrapText="1"/>
    </xf>
    <xf numFmtId="0" fontId="13" fillId="2" borderId="11" xfId="0" applyFont="1" applyFill="1" applyBorder="1" applyAlignment="1">
      <alignment horizontal="center" textRotation="90" wrapText="1"/>
    </xf>
    <xf numFmtId="14" fontId="15" fillId="0" borderId="4" xfId="0" applyNumberFormat="1" applyFont="1" applyBorder="1" applyAlignment="1">
      <alignment horizontal="center" vertical="top"/>
    </xf>
    <xf numFmtId="14" fontId="15" fillId="0" borderId="2" xfId="0" applyNumberFormat="1" applyFont="1" applyBorder="1" applyAlignment="1">
      <alignment horizontal="center" vertical="top"/>
    </xf>
    <xf numFmtId="0" fontId="16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16" fillId="0" borderId="1" xfId="0" applyFont="1" applyBorder="1" applyAlignment="1">
      <alignment horizontal="right" vertical="top"/>
    </xf>
    <xf numFmtId="0" fontId="1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19" fillId="0" borderId="0" xfId="0" applyFont="1" applyAlignment="1">
      <alignment horizontal="right" vertical="top" wrapText="1"/>
    </xf>
    <xf numFmtId="164" fontId="16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top"/>
    </xf>
    <xf numFmtId="164" fontId="16" fillId="4" borderId="48" xfId="0" applyNumberFormat="1" applyFont="1" applyFill="1" applyBorder="1" applyAlignment="1">
      <alignment horizontal="center" vertical="center"/>
    </xf>
    <xf numFmtId="0" fontId="13" fillId="0" borderId="45" xfId="0" applyFont="1" applyBorder="1" applyAlignment="1">
      <alignment horizontal="right" vertical="top"/>
    </xf>
    <xf numFmtId="49" fontId="7" fillId="0" borderId="16" xfId="0" applyNumberFormat="1" applyFont="1" applyBorder="1" applyAlignment="1">
      <alignment horizontal="left" vertical="top" wrapText="1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16" xfId="0" applyBorder="1"/>
    <xf numFmtId="0" fontId="1" fillId="0" borderId="1" xfId="0" applyFont="1" applyBorder="1" applyAlignment="1">
      <alignment horizontal="right" vertical="top"/>
    </xf>
    <xf numFmtId="49" fontId="15" fillId="0" borderId="1" xfId="0" applyNumberFormat="1" applyFont="1" applyBorder="1" applyAlignment="1">
      <alignment horizontal="center" vertical="top"/>
    </xf>
    <xf numFmtId="49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top"/>
    </xf>
    <xf numFmtId="49" fontId="7" fillId="0" borderId="22" xfId="0" applyNumberFormat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  <xf numFmtId="49" fontId="7" fillId="0" borderId="29" xfId="0" applyNumberFormat="1" applyFont="1" applyBorder="1" applyAlignment="1">
      <alignment vertical="top" wrapText="1"/>
    </xf>
    <xf numFmtId="0" fontId="5" fillId="0" borderId="14" xfId="0" applyFont="1" applyBorder="1" applyAlignment="1">
      <alignment horizontal="center" vertical="top"/>
    </xf>
    <xf numFmtId="0" fontId="0" fillId="0" borderId="14" xfId="0" applyBorder="1"/>
    <xf numFmtId="49" fontId="7" fillId="0" borderId="29" xfId="0" applyNumberFormat="1" applyFont="1" applyBorder="1" applyAlignment="1">
      <alignment horizontal="left" vertical="top"/>
    </xf>
    <xf numFmtId="0" fontId="0" fillId="0" borderId="37" xfId="0" applyBorder="1"/>
    <xf numFmtId="49" fontId="7" fillId="0" borderId="28" xfId="0" applyNumberFormat="1" applyFont="1" applyBorder="1" applyAlignment="1">
      <alignment vertical="top" wrapText="1"/>
    </xf>
    <xf numFmtId="0" fontId="0" fillId="0" borderId="5" xfId="0" applyBorder="1"/>
    <xf numFmtId="0" fontId="0" fillId="0" borderId="35" xfId="0" applyBorder="1"/>
    <xf numFmtId="0" fontId="0" fillId="0" borderId="12" xfId="0" applyBorder="1"/>
    <xf numFmtId="0" fontId="0" fillId="0" borderId="0" xfId="0"/>
    <xf numFmtId="0" fontId="0" fillId="0" borderId="19" xfId="0" applyBorder="1"/>
    <xf numFmtId="0" fontId="0" fillId="0" borderId="39" xfId="0" applyBorder="1"/>
    <xf numFmtId="0" fontId="0" fillId="0" borderId="9" xfId="0" applyBorder="1"/>
    <xf numFmtId="0" fontId="0" fillId="0" borderId="36" xfId="0" applyBorder="1"/>
    <xf numFmtId="0" fontId="9" fillId="2" borderId="17" xfId="0" applyFont="1" applyFill="1" applyBorder="1" applyAlignment="1">
      <alignment horizontal="left" vertical="center"/>
    </xf>
    <xf numFmtId="0" fontId="0" fillId="0" borderId="15" xfId="0" applyBorder="1"/>
    <xf numFmtId="0" fontId="0" fillId="0" borderId="17" xfId="0" applyBorder="1"/>
    <xf numFmtId="49" fontId="9" fillId="2" borderId="4" xfId="0" applyNumberFormat="1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49" fontId="7" fillId="0" borderId="22" xfId="0" applyNumberFormat="1" applyFont="1" applyBorder="1" applyAlignment="1">
      <alignment horizontal="left" vertical="center" wrapText="1"/>
    </xf>
    <xf numFmtId="49" fontId="9" fillId="2" borderId="22" xfId="0" applyNumberFormat="1" applyFont="1" applyFill="1" applyBorder="1" applyAlignment="1">
      <alignment horizontal="left" vertical="center"/>
    </xf>
    <xf numFmtId="49" fontId="12" fillId="0" borderId="22" xfId="0" applyNumberFormat="1" applyFont="1" applyBorder="1" applyAlignment="1">
      <alignment horizontal="left" vertical="top" wrapText="1"/>
    </xf>
    <xf numFmtId="49" fontId="7" fillId="0" borderId="22" xfId="0" applyNumberFormat="1" applyFont="1" applyBorder="1" applyAlignment="1">
      <alignment horizontal="left" vertical="center"/>
    </xf>
    <xf numFmtId="49" fontId="9" fillId="0" borderId="7" xfId="0" applyNumberFormat="1" applyFont="1" applyBorder="1" applyAlignment="1">
      <alignment horizontal="left" vertical="center"/>
    </xf>
    <xf numFmtId="0" fontId="0" fillId="0" borderId="7" xfId="0" applyBorder="1"/>
    <xf numFmtId="49" fontId="11" fillId="3" borderId="1" xfId="0" applyNumberFormat="1" applyFont="1" applyFill="1" applyBorder="1" applyAlignment="1">
      <alignment horizontal="center" vertical="center" wrapText="1"/>
    </xf>
    <xf numFmtId="49" fontId="9" fillId="2" borderId="24" xfId="0" applyNumberFormat="1" applyFont="1" applyFill="1" applyBorder="1" applyAlignment="1">
      <alignment horizontal="left" vertical="center"/>
    </xf>
    <xf numFmtId="49" fontId="15" fillId="0" borderId="1" xfId="0" applyNumberFormat="1" applyFont="1" applyBorder="1" applyAlignment="1">
      <alignment horizontal="left" vertical="top" wrapText="1"/>
    </xf>
    <xf numFmtId="49" fontId="22" fillId="0" borderId="6" xfId="0" applyNumberFormat="1" applyFont="1" applyBorder="1" applyAlignment="1">
      <alignment horizontal="left" vertical="top" wrapText="1"/>
    </xf>
    <xf numFmtId="0" fontId="0" fillId="0" borderId="6" xfId="0" applyBorder="1"/>
    <xf numFmtId="0" fontId="0" fillId="0" borderId="33" xfId="0" applyBorder="1"/>
    <xf numFmtId="49" fontId="22" fillId="0" borderId="10" xfId="0" applyNumberFormat="1" applyFont="1" applyBorder="1" applyAlignment="1">
      <alignment horizontal="left" vertical="top" wrapText="1"/>
    </xf>
    <xf numFmtId="0" fontId="0" fillId="0" borderId="44" xfId="0" applyBorder="1"/>
    <xf numFmtId="49" fontId="7" fillId="0" borderId="2" xfId="0" applyNumberFormat="1" applyFont="1" applyBorder="1" applyAlignment="1">
      <alignment vertical="top" wrapText="1"/>
    </xf>
    <xf numFmtId="49" fontId="4" fillId="0" borderId="26" xfId="0" applyNumberFormat="1" applyFont="1" applyBorder="1" applyAlignment="1">
      <alignment horizontal="center" vertical="center" wrapText="1"/>
    </xf>
    <xf numFmtId="0" fontId="0" fillId="0" borderId="51" xfId="0" applyBorder="1"/>
    <xf numFmtId="0" fontId="0" fillId="0" borderId="52" xfId="0" applyBorder="1"/>
    <xf numFmtId="0" fontId="0" fillId="0" borderId="18" xfId="0" applyBorder="1"/>
    <xf numFmtId="0" fontId="0" fillId="0" borderId="50" xfId="0" applyBorder="1"/>
    <xf numFmtId="0" fontId="0" fillId="0" borderId="53" xfId="0" applyBorder="1"/>
    <xf numFmtId="0" fontId="0" fillId="0" borderId="38" xfId="0" applyBorder="1"/>
    <xf numFmtId="49" fontId="10" fillId="3" borderId="22" xfId="0" applyNumberFormat="1" applyFont="1" applyFill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left" vertical="center"/>
    </xf>
    <xf numFmtId="49" fontId="9" fillId="2" borderId="27" xfId="0" applyNumberFormat="1" applyFont="1" applyFill="1" applyBorder="1" applyAlignment="1">
      <alignment horizontal="left" vertical="top"/>
    </xf>
    <xf numFmtId="0" fontId="0" fillId="0" borderId="34" xfId="0" applyBorder="1"/>
    <xf numFmtId="49" fontId="9" fillId="2" borderId="27" xfId="0" applyNumberFormat="1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left" vertical="center"/>
    </xf>
    <xf numFmtId="0" fontId="0" fillId="0" borderId="42" xfId="0" applyBorder="1"/>
    <xf numFmtId="49" fontId="7" fillId="0" borderId="4" xfId="0" applyNumberFormat="1" applyFont="1" applyBorder="1" applyAlignment="1">
      <alignment vertical="top" wrapText="1"/>
    </xf>
    <xf numFmtId="49" fontId="7" fillId="0" borderId="27" xfId="0" applyNumberFormat="1" applyFont="1" applyBorder="1" applyAlignment="1">
      <alignment vertical="top" wrapText="1"/>
    </xf>
    <xf numFmtId="0" fontId="0" fillId="0" borderId="40" xfId="0" applyBorder="1"/>
    <xf numFmtId="0" fontId="0" fillId="0" borderId="41" xfId="0" applyBorder="1"/>
    <xf numFmtId="49" fontId="10" fillId="3" borderId="1" xfId="0" applyNumberFormat="1" applyFont="1" applyFill="1" applyBorder="1" applyAlignment="1">
      <alignment horizontal="left" vertical="center"/>
    </xf>
    <xf numFmtId="49" fontId="8" fillId="0" borderId="21" xfId="0" applyNumberFormat="1" applyFont="1" applyBorder="1" applyAlignment="1">
      <alignment horizontal="left" vertical="top"/>
    </xf>
    <xf numFmtId="0" fontId="0" fillId="0" borderId="43" xfId="0" applyBorder="1"/>
    <xf numFmtId="49" fontId="9" fillId="2" borderId="26" xfId="0" applyNumberFormat="1" applyFont="1" applyFill="1" applyBorder="1" applyAlignment="1">
      <alignment horizontal="left" vertical="center"/>
    </xf>
    <xf numFmtId="49" fontId="7" fillId="0" borderId="11" xfId="0" applyNumberFormat="1" applyFont="1" applyBorder="1" applyAlignment="1">
      <alignment vertical="top" wrapText="1"/>
    </xf>
    <xf numFmtId="0" fontId="9" fillId="2" borderId="26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top"/>
    </xf>
    <xf numFmtId="49" fontId="7" fillId="0" borderId="24" xfId="0" applyNumberFormat="1" applyFont="1" applyBorder="1" applyAlignment="1">
      <alignment vertical="top" wrapText="1"/>
    </xf>
    <xf numFmtId="49" fontId="7" fillId="0" borderId="54" xfId="0" applyNumberFormat="1" applyFont="1" applyBorder="1" applyAlignment="1">
      <alignment vertical="top" wrapText="1"/>
    </xf>
    <xf numFmtId="49" fontId="22" fillId="0" borderId="22" xfId="0" applyNumberFormat="1" applyFont="1" applyBorder="1" applyAlignment="1">
      <alignment horizontal="left" vertical="top" wrapText="1"/>
    </xf>
    <xf numFmtId="49" fontId="7" fillId="0" borderId="9" xfId="0" applyNumberFormat="1" applyFont="1" applyBorder="1" applyAlignment="1">
      <alignment horizontal="right" vertical="top" wrapText="1"/>
    </xf>
    <xf numFmtId="49" fontId="22" fillId="0" borderId="11" xfId="0" applyNumberFormat="1" applyFont="1" applyBorder="1" applyAlignment="1">
      <alignment horizontal="left" vertical="top" wrapText="1"/>
    </xf>
    <xf numFmtId="49" fontId="11" fillId="3" borderId="4" xfId="0" applyNumberFormat="1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left" vertical="center"/>
    </xf>
    <xf numFmtId="0" fontId="9" fillId="2" borderId="10" xfId="0" applyFont="1" applyFill="1" applyBorder="1" applyAlignment="1">
      <alignment horizontal="center" vertical="center"/>
    </xf>
    <xf numFmtId="0" fontId="16" fillId="0" borderId="49" xfId="0" applyFont="1" applyBorder="1" applyAlignment="1">
      <alignment horizontal="right" vertical="center"/>
    </xf>
    <xf numFmtId="0" fontId="0" fillId="0" borderId="49" xfId="0" applyBorder="1"/>
    <xf numFmtId="0" fontId="17" fillId="0" borderId="0" xfId="0" applyFont="1" applyAlignment="1">
      <alignment horizontal="left" vertical="center"/>
    </xf>
    <xf numFmtId="49" fontId="0" fillId="0" borderId="38" xfId="0" applyNumberFormat="1" applyBorder="1"/>
    <xf numFmtId="0" fontId="9" fillId="2" borderId="8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49" fontId="21" fillId="0" borderId="38" xfId="0" applyNumberFormat="1" applyFont="1" applyBorder="1" applyAlignment="1">
      <alignment horizontal="left" vertical="center"/>
    </xf>
    <xf numFmtId="164" fontId="19" fillId="0" borderId="5" xfId="0" applyNumberFormat="1" applyFont="1" applyBorder="1" applyAlignment="1">
      <alignment horizontal="center" vertical="top"/>
    </xf>
    <xf numFmtId="0" fontId="0" fillId="0" borderId="48" xfId="0" applyBorder="1"/>
    <xf numFmtId="0" fontId="16" fillId="0" borderId="0" xfId="0" applyFont="1" applyAlignment="1">
      <alignment horizontal="right" vertical="center"/>
    </xf>
    <xf numFmtId="49" fontId="7" fillId="0" borderId="8" xfId="0" applyNumberFormat="1" applyFont="1" applyBorder="1" applyAlignment="1">
      <alignment horizontal="left" vertical="top" wrapText="1"/>
    </xf>
    <xf numFmtId="49" fontId="8" fillId="0" borderId="33" xfId="0" applyNumberFormat="1" applyFont="1" applyBorder="1" applyAlignment="1">
      <alignment horizontal="left" vertical="top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40"/>
  <sheetViews>
    <sheetView topLeftCell="C17" zoomScaleNormal="100" workbookViewId="0">
      <selection activeCell="B23" sqref="B23:G27"/>
    </sheetView>
  </sheetViews>
  <sheetFormatPr baseColWidth="10" defaultColWidth="8.83203125" defaultRowHeight="15" x14ac:dyDescent="0.2"/>
  <cols>
    <col min="2" max="7" width="20.6640625" customWidth="1"/>
    <col min="8" max="8" width="5.6640625" customWidth="1"/>
    <col min="9" max="14" width="20.6640625" customWidth="1"/>
  </cols>
  <sheetData>
    <row r="1" spans="2:15" ht="15.75" customHeight="1" thickBot="1" x14ac:dyDescent="0.25">
      <c r="B1" s="174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</row>
    <row r="2" spans="2:15" ht="30" customHeight="1" thickBot="1" x14ac:dyDescent="0.25">
      <c r="B2" s="145" t="s">
        <v>1</v>
      </c>
      <c r="C2" s="22" t="s">
        <v>2</v>
      </c>
      <c r="D2" s="23"/>
      <c r="E2" s="165" t="s">
        <v>3</v>
      </c>
      <c r="F2" s="191" t="s">
        <v>4</v>
      </c>
      <c r="G2" s="148"/>
      <c r="H2" s="148"/>
      <c r="I2" s="148"/>
      <c r="J2" s="148"/>
      <c r="K2" s="148"/>
      <c r="L2" s="149"/>
      <c r="M2" s="139" t="s">
        <v>5</v>
      </c>
      <c r="N2" s="142" t="s">
        <v>6</v>
      </c>
    </row>
    <row r="3" spans="2:15" ht="30" customHeight="1" thickBot="1" x14ac:dyDescent="0.25">
      <c r="B3" s="146"/>
      <c r="C3" s="22" t="s">
        <v>7</v>
      </c>
      <c r="D3" s="52" t="s">
        <v>7</v>
      </c>
      <c r="E3" s="166"/>
      <c r="F3" s="150"/>
      <c r="G3" s="151"/>
      <c r="H3" s="151"/>
      <c r="I3" s="151"/>
      <c r="J3" s="151"/>
      <c r="K3" s="151"/>
      <c r="L3" s="140"/>
      <c r="M3" s="140"/>
      <c r="N3" s="143"/>
    </row>
    <row r="4" spans="2:15" ht="30" customHeight="1" thickBot="1" x14ac:dyDescent="0.25">
      <c r="B4" s="146"/>
      <c r="C4" s="22" t="s">
        <v>8</v>
      </c>
      <c r="D4" s="110" t="s">
        <v>9</v>
      </c>
      <c r="E4" s="27" t="s">
        <v>10</v>
      </c>
      <c r="F4" s="113"/>
      <c r="G4" s="114"/>
      <c r="H4" s="192"/>
      <c r="I4" s="141"/>
      <c r="J4" s="23"/>
      <c r="K4" s="34" t="s">
        <v>11</v>
      </c>
      <c r="L4" s="28"/>
      <c r="M4" s="173" t="s">
        <v>12</v>
      </c>
      <c r="N4" s="175" t="s">
        <v>13</v>
      </c>
    </row>
    <row r="5" spans="2:15" ht="30" customHeight="1" thickBot="1" x14ac:dyDescent="0.25">
      <c r="B5" s="147"/>
      <c r="C5" s="24" t="s">
        <v>14</v>
      </c>
      <c r="D5" s="25" t="s">
        <v>161</v>
      </c>
      <c r="E5" s="26"/>
      <c r="F5" s="172" t="s">
        <v>15</v>
      </c>
      <c r="G5" s="122"/>
      <c r="H5" s="122"/>
      <c r="I5" s="122"/>
      <c r="J5" s="122"/>
      <c r="K5" s="122"/>
      <c r="L5" s="122"/>
      <c r="M5" s="166"/>
      <c r="N5" s="143"/>
    </row>
    <row r="6" spans="2:15" ht="15" customHeight="1" x14ac:dyDescent="0.2">
      <c r="B6" s="167" t="s">
        <v>16</v>
      </c>
      <c r="C6" s="125"/>
      <c r="D6" s="125"/>
      <c r="E6" s="125"/>
      <c r="F6" s="125"/>
      <c r="G6" s="126"/>
      <c r="H6" s="169" t="s">
        <v>17</v>
      </c>
      <c r="I6" s="125"/>
      <c r="J6" s="125"/>
      <c r="K6" s="125"/>
      <c r="L6" s="125"/>
      <c r="M6" s="125"/>
      <c r="N6" s="126"/>
      <c r="O6" s="10"/>
    </row>
    <row r="7" spans="2:15" ht="187" customHeight="1" x14ac:dyDescent="0.2">
      <c r="B7" s="171" t="s">
        <v>18</v>
      </c>
      <c r="C7" s="128"/>
      <c r="D7" s="128"/>
      <c r="E7" s="128"/>
      <c r="F7" s="128"/>
      <c r="G7" s="128"/>
      <c r="H7" s="161" t="s">
        <v>19</v>
      </c>
      <c r="I7" s="128"/>
      <c r="J7" s="128"/>
      <c r="K7" s="128"/>
      <c r="L7" s="128"/>
      <c r="M7" s="128"/>
      <c r="N7" s="156"/>
      <c r="O7" s="10"/>
    </row>
    <row r="8" spans="2:15" x14ac:dyDescent="0.2">
      <c r="B8" s="137" t="s">
        <v>20</v>
      </c>
      <c r="C8" s="128"/>
      <c r="D8" s="128"/>
      <c r="E8" s="128"/>
      <c r="F8" s="128"/>
      <c r="G8" s="128"/>
      <c r="H8" s="157" t="s">
        <v>21</v>
      </c>
      <c r="I8" s="128"/>
      <c r="J8" s="128"/>
      <c r="K8" s="128"/>
      <c r="L8" s="128"/>
      <c r="M8" s="128"/>
      <c r="N8" s="156"/>
    </row>
    <row r="9" spans="2:15" x14ac:dyDescent="0.2">
      <c r="B9" s="161" t="s">
        <v>22</v>
      </c>
      <c r="C9" s="116"/>
      <c r="D9" s="116"/>
      <c r="E9" s="116"/>
      <c r="F9" s="116"/>
      <c r="G9" s="117"/>
      <c r="H9" s="152" t="s">
        <v>23</v>
      </c>
      <c r="I9" s="129"/>
      <c r="J9" s="36" t="s">
        <v>24</v>
      </c>
      <c r="K9" s="164" t="s">
        <v>25</v>
      </c>
      <c r="L9" s="128"/>
      <c r="M9" s="128"/>
      <c r="N9" s="129"/>
    </row>
    <row r="10" spans="2:15" x14ac:dyDescent="0.2">
      <c r="B10" s="118"/>
      <c r="C10" s="119"/>
      <c r="D10" s="119"/>
      <c r="E10" s="119"/>
      <c r="F10" s="119"/>
      <c r="G10" s="120"/>
      <c r="H10" s="133" t="s">
        <v>26</v>
      </c>
      <c r="I10" s="129"/>
      <c r="J10" s="1" t="s">
        <v>27</v>
      </c>
      <c r="K10" s="144" t="s">
        <v>28</v>
      </c>
      <c r="L10" s="128"/>
      <c r="M10" s="128"/>
      <c r="N10" s="128"/>
      <c r="O10" s="10"/>
    </row>
    <row r="11" spans="2:15" x14ac:dyDescent="0.2">
      <c r="B11" s="118"/>
      <c r="C11" s="119"/>
      <c r="D11" s="119"/>
      <c r="E11" s="119"/>
      <c r="F11" s="119"/>
      <c r="G11" s="120"/>
      <c r="H11" s="133" t="s">
        <v>29</v>
      </c>
      <c r="I11" s="129"/>
      <c r="J11" s="1" t="s">
        <v>27</v>
      </c>
      <c r="K11" s="168" t="s">
        <v>30</v>
      </c>
      <c r="L11" s="128"/>
      <c r="M11" s="128"/>
      <c r="N11" s="156"/>
    </row>
    <row r="12" spans="2:15" x14ac:dyDescent="0.2">
      <c r="B12" s="118"/>
      <c r="C12" s="119"/>
      <c r="D12" s="119"/>
      <c r="E12" s="119"/>
      <c r="F12" s="119"/>
      <c r="G12" s="120"/>
      <c r="H12" s="133" t="s">
        <v>31</v>
      </c>
      <c r="I12" s="129"/>
      <c r="J12" s="1" t="s">
        <v>32</v>
      </c>
      <c r="K12" s="168" t="s">
        <v>33</v>
      </c>
      <c r="L12" s="128"/>
      <c r="M12" s="128"/>
      <c r="N12" s="156"/>
    </row>
    <row r="13" spans="2:15" ht="45.75" customHeight="1" x14ac:dyDescent="0.2">
      <c r="B13" s="162"/>
      <c r="C13" s="151"/>
      <c r="D13" s="151"/>
      <c r="E13" s="151"/>
      <c r="F13" s="151"/>
      <c r="G13" s="163"/>
      <c r="H13" s="132" t="s">
        <v>34</v>
      </c>
      <c r="I13" s="128"/>
      <c r="J13" s="128"/>
      <c r="K13" s="128"/>
      <c r="L13" s="128"/>
      <c r="M13" s="128"/>
      <c r="N13" s="129"/>
      <c r="O13" s="10"/>
    </row>
    <row r="14" spans="2:15" x14ac:dyDescent="0.2">
      <c r="B14" s="131" t="s">
        <v>35</v>
      </c>
      <c r="C14" s="128"/>
      <c r="D14" s="128"/>
      <c r="E14" s="128"/>
      <c r="F14" s="128"/>
      <c r="G14" s="129"/>
      <c r="H14" s="157" t="s">
        <v>36</v>
      </c>
      <c r="I14" s="128"/>
      <c r="J14" s="128"/>
      <c r="K14" s="128"/>
      <c r="L14" s="128"/>
      <c r="M14" s="128"/>
      <c r="N14" s="156"/>
    </row>
    <row r="15" spans="2:15" ht="33.75" customHeight="1" x14ac:dyDescent="0.2">
      <c r="B15" s="19" t="s">
        <v>37</v>
      </c>
      <c r="C15" s="6" t="s">
        <v>38</v>
      </c>
      <c r="D15" s="6" t="s">
        <v>39</v>
      </c>
      <c r="E15" s="6" t="s">
        <v>40</v>
      </c>
      <c r="F15" s="6" t="s">
        <v>41</v>
      </c>
      <c r="G15" s="29" t="s">
        <v>42</v>
      </c>
      <c r="H15" s="30" t="s">
        <v>43</v>
      </c>
      <c r="I15" s="136" t="s">
        <v>44</v>
      </c>
      <c r="J15" s="129"/>
      <c r="K15" s="7" t="s">
        <v>45</v>
      </c>
      <c r="L15" s="7" t="s">
        <v>46</v>
      </c>
      <c r="M15" s="7" t="s">
        <v>47</v>
      </c>
      <c r="N15" s="11" t="s">
        <v>48</v>
      </c>
    </row>
    <row r="16" spans="2:15" ht="60" x14ac:dyDescent="0.2">
      <c r="B16" s="108" t="s">
        <v>49</v>
      </c>
      <c r="C16" s="109" t="s">
        <v>50</v>
      </c>
      <c r="D16" s="2" t="s">
        <v>27</v>
      </c>
      <c r="E16" s="2" t="s">
        <v>32</v>
      </c>
      <c r="F16" s="2" t="s">
        <v>51</v>
      </c>
      <c r="G16" s="31" t="s">
        <v>27</v>
      </c>
      <c r="H16" s="38">
        <v>1</v>
      </c>
      <c r="I16" s="138" t="s">
        <v>52</v>
      </c>
      <c r="J16" s="129"/>
      <c r="K16" s="104" t="s">
        <v>53</v>
      </c>
      <c r="L16" s="51" t="s">
        <v>54</v>
      </c>
      <c r="M16" s="51" t="s">
        <v>55</v>
      </c>
      <c r="N16" s="45" t="s">
        <v>56</v>
      </c>
    </row>
    <row r="17" spans="2:15" ht="60" x14ac:dyDescent="0.2">
      <c r="B17" s="108" t="s">
        <v>57</v>
      </c>
      <c r="C17" s="109" t="s">
        <v>58</v>
      </c>
      <c r="D17" s="2" t="s">
        <v>32</v>
      </c>
      <c r="E17" s="2" t="s">
        <v>32</v>
      </c>
      <c r="F17" s="2" t="s">
        <v>51</v>
      </c>
      <c r="G17" s="31" t="s">
        <v>32</v>
      </c>
      <c r="H17" s="38">
        <v>2</v>
      </c>
      <c r="I17" s="138" t="s">
        <v>59</v>
      </c>
      <c r="J17" s="129"/>
      <c r="K17" s="104" t="s">
        <v>60</v>
      </c>
      <c r="L17" s="51" t="s">
        <v>54</v>
      </c>
      <c r="M17" s="51" t="s">
        <v>61</v>
      </c>
      <c r="N17" s="45" t="s">
        <v>62</v>
      </c>
    </row>
    <row r="18" spans="2:15" ht="30" x14ac:dyDescent="0.2">
      <c r="B18" s="108" t="s">
        <v>63</v>
      </c>
      <c r="C18" s="109" t="s">
        <v>64</v>
      </c>
      <c r="D18" s="2" t="s">
        <v>27</v>
      </c>
      <c r="E18" s="2" t="s">
        <v>32</v>
      </c>
      <c r="F18" s="2" t="s">
        <v>27</v>
      </c>
      <c r="G18" s="31" t="s">
        <v>32</v>
      </c>
      <c r="H18" s="38">
        <v>3</v>
      </c>
      <c r="I18" s="138" t="s">
        <v>65</v>
      </c>
      <c r="J18" s="129"/>
      <c r="K18" s="104" t="s">
        <v>60</v>
      </c>
      <c r="L18" s="51" t="s">
        <v>66</v>
      </c>
      <c r="M18" s="51" t="s">
        <v>67</v>
      </c>
      <c r="N18" s="45" t="s">
        <v>68</v>
      </c>
    </row>
    <row r="19" spans="2:15" ht="30" x14ac:dyDescent="0.2">
      <c r="B19" s="108" t="s">
        <v>69</v>
      </c>
      <c r="C19" s="109" t="s">
        <v>70</v>
      </c>
      <c r="D19" s="2" t="s">
        <v>32</v>
      </c>
      <c r="E19" s="2" t="s">
        <v>51</v>
      </c>
      <c r="F19" s="2" t="s">
        <v>32</v>
      </c>
      <c r="G19" s="31" t="s">
        <v>51</v>
      </c>
      <c r="H19" s="38">
        <v>4</v>
      </c>
      <c r="I19" s="138" t="s">
        <v>71</v>
      </c>
      <c r="J19" s="129"/>
      <c r="K19" s="104" t="s">
        <v>72</v>
      </c>
      <c r="L19" s="51" t="s">
        <v>73</v>
      </c>
      <c r="M19" s="51" t="s">
        <v>61</v>
      </c>
      <c r="N19" s="45" t="s">
        <v>74</v>
      </c>
    </row>
    <row r="20" spans="2:15" x14ac:dyDescent="0.2">
      <c r="B20" s="108"/>
      <c r="C20" s="109"/>
      <c r="D20" s="2"/>
      <c r="E20" s="2"/>
      <c r="F20" s="2"/>
      <c r="G20" s="31"/>
      <c r="H20" s="38">
        <v>5</v>
      </c>
      <c r="I20" s="138" t="s">
        <v>75</v>
      </c>
      <c r="J20" s="129"/>
      <c r="K20" s="104" t="s">
        <v>72</v>
      </c>
      <c r="L20" s="51" t="s">
        <v>76</v>
      </c>
      <c r="M20" s="51" t="s">
        <v>77</v>
      </c>
      <c r="N20" s="45" t="s">
        <v>78</v>
      </c>
    </row>
    <row r="21" spans="2:15" x14ac:dyDescent="0.2">
      <c r="B21" s="108"/>
      <c r="C21" s="107"/>
      <c r="D21" s="2"/>
      <c r="E21" s="2"/>
      <c r="F21" s="2"/>
      <c r="G21" s="31"/>
      <c r="H21" s="38">
        <v>6</v>
      </c>
      <c r="I21" s="138" t="s">
        <v>79</v>
      </c>
      <c r="J21" s="129"/>
      <c r="K21" s="104" t="s">
        <v>72</v>
      </c>
      <c r="L21" s="51" t="s">
        <v>80</v>
      </c>
      <c r="M21" s="51" t="s">
        <v>77</v>
      </c>
      <c r="N21" s="46" t="s">
        <v>81</v>
      </c>
      <c r="O21" s="10"/>
    </row>
    <row r="22" spans="2:15" x14ac:dyDescent="0.2">
      <c r="B22" s="108"/>
      <c r="C22" s="107"/>
      <c r="D22" s="2"/>
      <c r="E22" s="2"/>
      <c r="F22" s="2"/>
      <c r="G22" s="31"/>
      <c r="H22" s="38">
        <v>7</v>
      </c>
      <c r="I22" s="138" t="s">
        <v>82</v>
      </c>
      <c r="J22" s="129"/>
      <c r="K22" s="104" t="s">
        <v>72</v>
      </c>
      <c r="L22" s="51" t="s">
        <v>83</v>
      </c>
      <c r="M22" s="51" t="s">
        <v>84</v>
      </c>
      <c r="N22" s="45" t="s">
        <v>85</v>
      </c>
    </row>
    <row r="23" spans="2:15" x14ac:dyDescent="0.2">
      <c r="B23" s="131" t="s">
        <v>86</v>
      </c>
      <c r="C23" s="128"/>
      <c r="D23" s="128"/>
      <c r="E23" s="128"/>
      <c r="F23" s="128"/>
      <c r="G23" s="129"/>
      <c r="H23" s="39">
        <v>8</v>
      </c>
      <c r="I23" s="138" t="s">
        <v>87</v>
      </c>
      <c r="J23" s="129"/>
      <c r="K23" s="104" t="s">
        <v>53</v>
      </c>
      <c r="L23" s="51" t="s">
        <v>88</v>
      </c>
      <c r="M23" s="51" t="s">
        <v>89</v>
      </c>
      <c r="N23" s="45" t="s">
        <v>90</v>
      </c>
    </row>
    <row r="24" spans="2:15" x14ac:dyDescent="0.2">
      <c r="B24" s="152" t="s">
        <v>91</v>
      </c>
      <c r="C24" s="129"/>
      <c r="D24" s="36" t="s">
        <v>92</v>
      </c>
      <c r="E24" s="36" t="s">
        <v>93</v>
      </c>
      <c r="F24" s="36" t="s">
        <v>94</v>
      </c>
      <c r="G24" s="37" t="s">
        <v>45</v>
      </c>
      <c r="H24" s="38">
        <v>9</v>
      </c>
      <c r="I24" s="138" t="s">
        <v>95</v>
      </c>
      <c r="J24" s="129"/>
      <c r="K24" s="104" t="s">
        <v>10</v>
      </c>
      <c r="L24" s="51" t="s">
        <v>96</v>
      </c>
      <c r="M24" s="51" t="s">
        <v>97</v>
      </c>
      <c r="N24" s="47" t="s">
        <v>98</v>
      </c>
    </row>
    <row r="25" spans="2:15" x14ac:dyDescent="0.2">
      <c r="B25" s="130" t="s">
        <v>99</v>
      </c>
      <c r="C25" s="129"/>
      <c r="D25" s="41" t="s">
        <v>100</v>
      </c>
      <c r="E25" s="2" t="s">
        <v>101</v>
      </c>
      <c r="F25" s="44" t="s">
        <v>102</v>
      </c>
      <c r="G25" s="43" t="s">
        <v>72</v>
      </c>
      <c r="H25" s="38">
        <v>10</v>
      </c>
      <c r="I25" s="138" t="s">
        <v>103</v>
      </c>
      <c r="J25" s="129"/>
      <c r="K25" s="105" t="s">
        <v>72</v>
      </c>
      <c r="L25" s="106" t="s">
        <v>104</v>
      </c>
      <c r="M25" s="106" t="s">
        <v>105</v>
      </c>
      <c r="N25" s="48" t="s">
        <v>106</v>
      </c>
    </row>
    <row r="26" spans="2:15" x14ac:dyDescent="0.2">
      <c r="B26" s="130" t="s">
        <v>107</v>
      </c>
      <c r="C26" s="129"/>
      <c r="D26" s="41" t="s">
        <v>100</v>
      </c>
      <c r="E26" s="44" t="s">
        <v>108</v>
      </c>
      <c r="F26" s="44" t="s">
        <v>109</v>
      </c>
      <c r="G26" s="43" t="s">
        <v>53</v>
      </c>
      <c r="H26" s="38">
        <v>11</v>
      </c>
      <c r="I26" s="138" t="s">
        <v>110</v>
      </c>
      <c r="J26" s="129"/>
      <c r="K26" s="105" t="s">
        <v>53</v>
      </c>
      <c r="L26" s="106" t="s">
        <v>111</v>
      </c>
      <c r="M26" s="106" t="s">
        <v>112</v>
      </c>
      <c r="N26" s="49" t="s">
        <v>113</v>
      </c>
    </row>
    <row r="27" spans="2:15" x14ac:dyDescent="0.2">
      <c r="B27" s="130" t="s">
        <v>114</v>
      </c>
      <c r="C27" s="129"/>
      <c r="D27" s="41" t="s">
        <v>100</v>
      </c>
      <c r="E27" s="1" t="s">
        <v>115</v>
      </c>
      <c r="F27" s="1" t="s">
        <v>116</v>
      </c>
      <c r="G27" s="42" t="s">
        <v>60</v>
      </c>
      <c r="H27" s="38">
        <v>12</v>
      </c>
      <c r="I27" s="138" t="s">
        <v>117</v>
      </c>
      <c r="J27" s="129"/>
      <c r="K27" s="105" t="s">
        <v>10</v>
      </c>
      <c r="L27" s="106" t="s">
        <v>118</v>
      </c>
      <c r="M27" s="106" t="s">
        <v>119</v>
      </c>
      <c r="N27" s="50" t="s">
        <v>120</v>
      </c>
      <c r="O27" s="10"/>
    </row>
    <row r="28" spans="2:15" x14ac:dyDescent="0.2">
      <c r="B28" s="155" t="s">
        <v>121</v>
      </c>
      <c r="C28" s="128"/>
      <c r="D28" s="128"/>
      <c r="E28" s="128"/>
      <c r="F28" s="128"/>
      <c r="G28" s="156"/>
      <c r="H28" s="127" t="s">
        <v>122</v>
      </c>
      <c r="I28" s="128"/>
      <c r="J28" s="128"/>
      <c r="K28" s="128"/>
      <c r="L28" s="128"/>
      <c r="M28" s="128"/>
      <c r="N28" s="129"/>
    </row>
    <row r="29" spans="2:15" ht="100" customHeight="1" x14ac:dyDescent="0.2">
      <c r="B29" s="115" t="s">
        <v>123</v>
      </c>
      <c r="C29" s="116"/>
      <c r="D29" s="116"/>
      <c r="E29" s="116"/>
      <c r="F29" s="116"/>
      <c r="G29" s="117"/>
      <c r="H29" s="160" t="s">
        <v>124</v>
      </c>
      <c r="I29" s="128"/>
      <c r="J29" s="128"/>
      <c r="K29" s="128"/>
      <c r="L29" s="128"/>
      <c r="M29" s="128"/>
      <c r="N29" s="129"/>
      <c r="O29" s="10"/>
    </row>
    <row r="30" spans="2:15" x14ac:dyDescent="0.2">
      <c r="B30" s="118"/>
      <c r="C30" s="119"/>
      <c r="D30" s="119"/>
      <c r="E30" s="119"/>
      <c r="F30" s="119"/>
      <c r="G30" s="120"/>
      <c r="H30" s="127" t="s">
        <v>125</v>
      </c>
      <c r="I30" s="128"/>
      <c r="J30" s="128"/>
      <c r="K30" s="128"/>
      <c r="L30" s="128"/>
      <c r="M30" s="128"/>
      <c r="N30" s="129"/>
    </row>
    <row r="31" spans="2:15" x14ac:dyDescent="0.2">
      <c r="B31" s="118"/>
      <c r="C31" s="119"/>
      <c r="D31" s="119"/>
      <c r="E31" s="119"/>
      <c r="F31" s="119"/>
      <c r="G31" s="120"/>
      <c r="H31" s="176" t="s">
        <v>91</v>
      </c>
      <c r="I31" s="128"/>
      <c r="J31" s="129"/>
      <c r="K31" s="35" t="s">
        <v>126</v>
      </c>
      <c r="L31" s="35" t="s">
        <v>127</v>
      </c>
      <c r="M31" s="35" t="s">
        <v>128</v>
      </c>
      <c r="N31" s="11" t="s">
        <v>129</v>
      </c>
    </row>
    <row r="32" spans="2:15" x14ac:dyDescent="0.2">
      <c r="B32" s="118"/>
      <c r="C32" s="119"/>
      <c r="D32" s="119"/>
      <c r="E32" s="119"/>
      <c r="F32" s="119"/>
      <c r="G32" s="120"/>
      <c r="H32" s="154" t="s">
        <v>130</v>
      </c>
      <c r="I32" s="128"/>
      <c r="J32" s="129"/>
      <c r="K32" s="2" t="s">
        <v>131</v>
      </c>
      <c r="L32" s="2"/>
      <c r="M32" s="2"/>
      <c r="N32" s="12"/>
    </row>
    <row r="33" spans="2:15" x14ac:dyDescent="0.2">
      <c r="B33" s="118"/>
      <c r="C33" s="119"/>
      <c r="D33" s="119"/>
      <c r="E33" s="119"/>
      <c r="F33" s="119"/>
      <c r="G33" s="120"/>
      <c r="H33" s="154" t="s">
        <v>132</v>
      </c>
      <c r="I33" s="128"/>
      <c r="J33" s="129"/>
      <c r="K33" s="3" t="s">
        <v>133</v>
      </c>
      <c r="L33" s="3"/>
      <c r="M33" s="4"/>
      <c r="N33" s="12"/>
    </row>
    <row r="34" spans="2:15" x14ac:dyDescent="0.2">
      <c r="B34" s="118"/>
      <c r="C34" s="119"/>
      <c r="D34" s="119"/>
      <c r="E34" s="119"/>
      <c r="F34" s="119"/>
      <c r="G34" s="120"/>
      <c r="H34" s="154" t="s">
        <v>134</v>
      </c>
      <c r="I34" s="128"/>
      <c r="J34" s="129"/>
      <c r="K34" s="2" t="s">
        <v>135</v>
      </c>
      <c r="L34" s="2"/>
      <c r="M34" s="4"/>
      <c r="N34" s="12"/>
    </row>
    <row r="35" spans="2:15" x14ac:dyDescent="0.2">
      <c r="B35" s="118"/>
      <c r="C35" s="119"/>
      <c r="D35" s="119"/>
      <c r="E35" s="119"/>
      <c r="F35" s="119"/>
      <c r="G35" s="120"/>
      <c r="H35" s="154" t="s">
        <v>136</v>
      </c>
      <c r="I35" s="128"/>
      <c r="J35" s="129"/>
      <c r="K35" s="5" t="s">
        <v>137</v>
      </c>
      <c r="L35" s="5"/>
      <c r="M35" s="4"/>
      <c r="N35" s="12"/>
    </row>
    <row r="36" spans="2:15" ht="27" customHeight="1" thickBot="1" x14ac:dyDescent="0.25">
      <c r="B36" s="121"/>
      <c r="C36" s="122"/>
      <c r="D36" s="122"/>
      <c r="E36" s="122"/>
      <c r="F36" s="122"/>
      <c r="G36" s="123"/>
      <c r="H36" s="134" t="s">
        <v>138</v>
      </c>
      <c r="I36" s="116"/>
      <c r="J36" s="116"/>
      <c r="K36" s="116"/>
      <c r="L36" s="116"/>
      <c r="M36" s="135"/>
      <c r="N36" s="13"/>
    </row>
    <row r="37" spans="2:15" x14ac:dyDescent="0.2">
      <c r="B37" s="158" t="s">
        <v>139</v>
      </c>
      <c r="C37" s="125"/>
      <c r="D37" s="125"/>
      <c r="E37" s="125"/>
      <c r="F37" s="125"/>
      <c r="G37" s="159"/>
      <c r="H37" s="124" t="s">
        <v>140</v>
      </c>
      <c r="I37" s="125"/>
      <c r="J37" s="125"/>
      <c r="K37" s="125"/>
      <c r="L37" s="125"/>
      <c r="M37" s="125"/>
      <c r="N37" s="126"/>
    </row>
    <row r="38" spans="2:15" ht="50" customHeight="1" x14ac:dyDescent="0.2">
      <c r="B38" s="20"/>
      <c r="C38" s="8"/>
      <c r="D38" s="8"/>
      <c r="E38" s="8"/>
      <c r="F38" s="9"/>
      <c r="G38" s="32"/>
      <c r="H38" s="8"/>
      <c r="I38" s="8"/>
      <c r="J38" s="8"/>
      <c r="K38" s="8"/>
      <c r="L38" s="8"/>
      <c r="M38" s="9"/>
      <c r="N38" s="9"/>
      <c r="O38" s="10"/>
    </row>
    <row r="39" spans="2:15" ht="15.75" customHeight="1" thickBot="1" x14ac:dyDescent="0.25">
      <c r="B39" s="21" t="s">
        <v>141</v>
      </c>
      <c r="C39" s="170" t="s">
        <v>142</v>
      </c>
      <c r="D39" s="116"/>
      <c r="E39" s="18" t="s">
        <v>143</v>
      </c>
      <c r="F39" s="18"/>
      <c r="G39" s="33"/>
      <c r="H39" s="153" t="s">
        <v>141</v>
      </c>
      <c r="I39" s="112"/>
      <c r="J39" s="111" t="s">
        <v>142</v>
      </c>
      <c r="K39" s="112"/>
      <c r="L39" s="17" t="s">
        <v>143</v>
      </c>
      <c r="M39" s="16"/>
      <c r="N39" s="14"/>
    </row>
    <row r="40" spans="2:15" x14ac:dyDescent="0.2">
      <c r="C40" s="15"/>
      <c r="D40" s="15"/>
      <c r="E40" s="15"/>
      <c r="F40" s="15"/>
      <c r="N40" s="15"/>
    </row>
  </sheetData>
  <mergeCells count="63">
    <mergeCell ref="B1:N1"/>
    <mergeCell ref="N4:N5"/>
    <mergeCell ref="H31:J31"/>
    <mergeCell ref="K12:N12"/>
    <mergeCell ref="I19:J19"/>
    <mergeCell ref="H7:N7"/>
    <mergeCell ref="B26:C26"/>
    <mergeCell ref="H35:J35"/>
    <mergeCell ref="H6:N6"/>
    <mergeCell ref="I17:J17"/>
    <mergeCell ref="C39:D39"/>
    <mergeCell ref="B7:G7"/>
    <mergeCell ref="B24:C24"/>
    <mergeCell ref="H12:I12"/>
    <mergeCell ref="I20:J20"/>
    <mergeCell ref="H34:J34"/>
    <mergeCell ref="B28:G28"/>
    <mergeCell ref="H8:N8"/>
    <mergeCell ref="H14:N14"/>
    <mergeCell ref="I16:J16"/>
    <mergeCell ref="B37:G37"/>
    <mergeCell ref="H30:N30"/>
    <mergeCell ref="I25:J25"/>
    <mergeCell ref="H29:N29"/>
    <mergeCell ref="I22:J22"/>
    <mergeCell ref="B9:G13"/>
    <mergeCell ref="K9:N9"/>
    <mergeCell ref="I18:J18"/>
    <mergeCell ref="I21:J21"/>
    <mergeCell ref="H33:J33"/>
    <mergeCell ref="H11:I11"/>
    <mergeCell ref="I24:J24"/>
    <mergeCell ref="M2:M3"/>
    <mergeCell ref="H4:I4"/>
    <mergeCell ref="N2:N3"/>
    <mergeCell ref="B27:C27"/>
    <mergeCell ref="K10:N10"/>
    <mergeCell ref="B2:B5"/>
    <mergeCell ref="F2:L3"/>
    <mergeCell ref="H9:I9"/>
    <mergeCell ref="I26:J26"/>
    <mergeCell ref="E2:E3"/>
    <mergeCell ref="B6:G6"/>
    <mergeCell ref="K11:N11"/>
    <mergeCell ref="I23:J23"/>
    <mergeCell ref="F5:L5"/>
    <mergeCell ref="M4:M5"/>
    <mergeCell ref="J39:K39"/>
    <mergeCell ref="F4:G4"/>
    <mergeCell ref="B29:G36"/>
    <mergeCell ref="H37:N37"/>
    <mergeCell ref="H28:N28"/>
    <mergeCell ref="B25:C25"/>
    <mergeCell ref="B14:G14"/>
    <mergeCell ref="H13:N13"/>
    <mergeCell ref="H10:I10"/>
    <mergeCell ref="H36:M36"/>
    <mergeCell ref="B23:G23"/>
    <mergeCell ref="I15:J15"/>
    <mergeCell ref="B8:G8"/>
    <mergeCell ref="I27:J27"/>
    <mergeCell ref="H39:I39"/>
    <mergeCell ref="H32:J32"/>
  </mergeCells>
  <dataValidations count="2">
    <dataValidation type="list" allowBlank="1" showInputMessage="1" showErrorMessage="1" sqref="J10:J12" xr:uid="{00000000-0002-0000-0000-000000000000}">
      <formula1>"Да, Нет"</formula1>
    </dataValidation>
    <dataValidation type="list" allowBlank="1" showInputMessage="1" showErrorMessage="1" sqref="D2" xr:uid="{00000000-0002-0000-0000-000001000000}">
      <formula1>"Стратегический проект (СП), Проект основной деятельности (ПОД)"</formula1>
    </dataValidation>
  </dataValidations>
  <pageMargins left="0.7" right="0.7" top="0.75" bottom="0.75" header="0.3" footer="0.3"/>
  <pageSetup paperSize="8" scale="5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A21"/>
  <sheetViews>
    <sheetView workbookViewId="0">
      <selection activeCell="C5" sqref="C5:Q5"/>
    </sheetView>
  </sheetViews>
  <sheetFormatPr baseColWidth="10" defaultColWidth="8.83203125" defaultRowHeight="15" x14ac:dyDescent="0.2"/>
  <cols>
    <col min="3" max="3" width="50.6640625" customWidth="1"/>
    <col min="4" max="5" width="12.6640625" customWidth="1"/>
    <col min="6" max="26" width="7.6640625" customWidth="1"/>
  </cols>
  <sheetData>
    <row r="2" spans="2:27" ht="23.25" customHeight="1" x14ac:dyDescent="0.2">
      <c r="B2" s="183" t="s">
        <v>144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</row>
    <row r="4" spans="2:27" ht="15.75" customHeight="1" x14ac:dyDescent="0.2">
      <c r="B4" s="53" t="s">
        <v>145</v>
      </c>
      <c r="C4" s="184" t="str">
        <f>А3!F2</f>
        <v>Автоматизация нормирования трудозатрат
на производственные операции</v>
      </c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</row>
    <row r="5" spans="2:27" ht="15.75" customHeight="1" x14ac:dyDescent="0.2">
      <c r="B5" s="53" t="s">
        <v>146</v>
      </c>
      <c r="C5" s="179" t="str">
        <f>А3!D3</f>
        <v>Присваивается Проектным офисом</v>
      </c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2:27" ht="15.75" customHeight="1" thickBot="1" x14ac:dyDescent="0.25"/>
    <row r="7" spans="2:27" x14ac:dyDescent="0.2">
      <c r="B7" s="177" t="s">
        <v>43</v>
      </c>
      <c r="C7" s="180" t="s">
        <v>147</v>
      </c>
      <c r="D7" s="178" t="s">
        <v>148</v>
      </c>
      <c r="E7" s="159"/>
      <c r="F7" s="185" t="s">
        <v>149</v>
      </c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59"/>
      <c r="R7" s="177" t="s">
        <v>150</v>
      </c>
      <c r="S7" s="125"/>
      <c r="T7" s="125"/>
      <c r="U7" s="125"/>
      <c r="V7" s="125"/>
      <c r="W7" s="125"/>
      <c r="X7" s="125"/>
      <c r="Y7" s="125"/>
      <c r="Z7" s="159"/>
      <c r="AA7" s="10"/>
    </row>
    <row r="8" spans="2:27" ht="120" customHeight="1" x14ac:dyDescent="0.2">
      <c r="B8" s="166"/>
      <c r="C8" s="143"/>
      <c r="D8" s="54" t="s">
        <v>46</v>
      </c>
      <c r="E8" s="55" t="s">
        <v>47</v>
      </c>
      <c r="F8" s="56">
        <v>45292</v>
      </c>
      <c r="G8" s="56">
        <v>45323</v>
      </c>
      <c r="H8" s="56">
        <v>45352</v>
      </c>
      <c r="I8" s="57">
        <v>45383</v>
      </c>
      <c r="J8" s="56">
        <v>45413</v>
      </c>
      <c r="K8" s="57">
        <v>45444</v>
      </c>
      <c r="L8" s="58">
        <v>45474</v>
      </c>
      <c r="M8" s="58">
        <v>45505</v>
      </c>
      <c r="N8" s="58">
        <v>45536</v>
      </c>
      <c r="O8" s="56">
        <v>45566</v>
      </c>
      <c r="P8" s="56">
        <v>45597</v>
      </c>
      <c r="Q8" s="56">
        <v>45627</v>
      </c>
      <c r="R8" s="77" t="s">
        <v>151</v>
      </c>
      <c r="S8" s="78"/>
      <c r="T8" s="79"/>
      <c r="U8" s="79"/>
      <c r="V8" s="79"/>
      <c r="W8" s="79"/>
      <c r="X8" s="79"/>
      <c r="Y8" s="79"/>
      <c r="Z8" s="80"/>
    </row>
    <row r="9" spans="2:27" x14ac:dyDescent="0.2">
      <c r="B9" s="59">
        <f t="shared" ref="B9:B20" si="0">ROW()-8</f>
        <v>1</v>
      </c>
      <c r="C9" s="40" t="str">
        <f>А3!I16</f>
        <v>Анализ текущего процесса нормирования</v>
      </c>
      <c r="D9" s="81" t="str">
        <f>А3!L16</f>
        <v>01.03.2026</v>
      </c>
      <c r="E9" s="82" t="str">
        <f>А3!M16</f>
        <v>14.03.2026</v>
      </c>
      <c r="F9" s="73"/>
      <c r="G9" s="74"/>
      <c r="H9" s="74"/>
      <c r="I9" s="74"/>
      <c r="J9" s="74"/>
      <c r="K9" s="74"/>
      <c r="L9" s="74"/>
      <c r="M9" s="74"/>
      <c r="N9" s="74"/>
      <c r="O9" s="74"/>
      <c r="P9" s="76"/>
      <c r="Q9" s="75"/>
      <c r="R9" s="60"/>
      <c r="S9" s="61"/>
      <c r="T9" s="62"/>
      <c r="U9" s="62"/>
      <c r="V9" s="62"/>
      <c r="W9" s="62"/>
      <c r="X9" s="62"/>
      <c r="Y9" s="62"/>
      <c r="Z9" s="63"/>
      <c r="AA9" s="10"/>
    </row>
    <row r="10" spans="2:27" x14ac:dyDescent="0.2">
      <c r="B10" s="59">
        <f t="shared" si="0"/>
        <v>2</v>
      </c>
      <c r="C10" s="40" t="str">
        <f>А3!I17</f>
        <v>Сбор и структурирование типовых маршрутов (236 шт.)</v>
      </c>
      <c r="D10" s="81" t="str">
        <f>А3!L17</f>
        <v>01.03.2026</v>
      </c>
      <c r="E10" s="82" t="str">
        <f>А3!M17</f>
        <v>21.03.2026</v>
      </c>
      <c r="F10" s="73"/>
      <c r="G10" s="74"/>
      <c r="H10" s="74"/>
      <c r="I10" s="74"/>
      <c r="J10" s="74"/>
      <c r="K10" s="74"/>
      <c r="L10" s="74"/>
      <c r="M10" s="74"/>
      <c r="N10" s="74"/>
      <c r="O10" s="74"/>
      <c r="P10" s="76"/>
      <c r="Q10" s="75"/>
      <c r="R10" s="60"/>
      <c r="S10" s="61"/>
      <c r="T10" s="62"/>
      <c r="U10" s="62"/>
      <c r="V10" s="62"/>
      <c r="W10" s="62"/>
      <c r="X10" s="62"/>
      <c r="Y10" s="62"/>
      <c r="Z10" s="64"/>
    </row>
    <row r="11" spans="2:27" x14ac:dyDescent="0.2">
      <c r="B11" s="59">
        <f t="shared" si="0"/>
        <v>3</v>
      </c>
      <c r="C11" s="40" t="str">
        <f>А3!I18</f>
        <v>Формирование базы оборудования (254 ед.)</v>
      </c>
      <c r="D11" s="81" t="str">
        <f>А3!L18</f>
        <v>07.03.2026</v>
      </c>
      <c r="E11" s="82" t="str">
        <f>А3!M18</f>
        <v>28.03.2026</v>
      </c>
      <c r="F11" s="73"/>
      <c r="G11" s="74"/>
      <c r="H11" s="74"/>
      <c r="I11" s="74"/>
      <c r="J11" s="74"/>
      <c r="K11" s="74"/>
      <c r="L11" s="74"/>
      <c r="M11" s="74"/>
      <c r="N11" s="74"/>
      <c r="O11" s="74"/>
      <c r="P11" s="76"/>
      <c r="Q11" s="75"/>
      <c r="R11" s="60"/>
      <c r="S11" s="61"/>
      <c r="T11" s="62"/>
      <c r="U11" s="62"/>
      <c r="V11" s="62"/>
      <c r="W11" s="62"/>
      <c r="X11" s="62"/>
      <c r="Y11" s="62"/>
      <c r="Z11" s="63"/>
      <c r="AA11" s="10"/>
    </row>
    <row r="12" spans="2:27" x14ac:dyDescent="0.2">
      <c r="B12" s="59">
        <f t="shared" si="0"/>
        <v>4</v>
      </c>
      <c r="C12" s="40" t="str">
        <f>А3!I19</f>
        <v>Разработка архитектуры приложения</v>
      </c>
      <c r="D12" s="81" t="str">
        <f>А3!L19</f>
        <v>10.03.2026</v>
      </c>
      <c r="E12" s="82" t="str">
        <f>А3!M19</f>
        <v>21.03.2026</v>
      </c>
      <c r="F12" s="73"/>
      <c r="G12" s="74"/>
      <c r="H12" s="74"/>
      <c r="I12" s="74"/>
      <c r="J12" s="74"/>
      <c r="K12" s="74"/>
      <c r="L12" s="74"/>
      <c r="M12" s="74"/>
      <c r="N12" s="74"/>
      <c r="O12" s="74"/>
      <c r="P12" s="76"/>
      <c r="Q12" s="75"/>
      <c r="R12" s="60"/>
      <c r="S12" s="61"/>
      <c r="T12" s="62"/>
      <c r="U12" s="62"/>
      <c r="V12" s="62"/>
      <c r="W12" s="62"/>
      <c r="X12" s="62"/>
      <c r="Y12" s="62"/>
      <c r="Z12" s="63"/>
      <c r="AA12" s="10"/>
    </row>
    <row r="13" spans="2:27" x14ac:dyDescent="0.2">
      <c r="B13" s="59">
        <f t="shared" si="0"/>
        <v>5</v>
      </c>
      <c r="C13" s="40" t="str">
        <f>А3!I20</f>
        <v>Разработка конвейера обработки (6 этапов)</v>
      </c>
      <c r="D13" s="81" t="str">
        <f>А3!L20</f>
        <v>22.03.2026</v>
      </c>
      <c r="E13" s="82" t="str">
        <f>А3!M20</f>
        <v>18.04.2026</v>
      </c>
      <c r="F13" s="73"/>
      <c r="G13" s="74"/>
      <c r="H13" s="74"/>
      <c r="I13" s="74"/>
      <c r="J13" s="74"/>
      <c r="K13" s="74"/>
      <c r="L13" s="74"/>
      <c r="M13" s="74"/>
      <c r="N13" s="74"/>
      <c r="O13" s="74"/>
      <c r="P13" s="76"/>
      <c r="Q13" s="75"/>
      <c r="R13" s="60"/>
      <c r="S13" s="61"/>
      <c r="T13" s="62"/>
      <c r="U13" s="62"/>
      <c r="V13" s="62"/>
      <c r="W13" s="62"/>
      <c r="X13" s="62"/>
      <c r="Y13" s="62"/>
      <c r="Z13" s="63"/>
      <c r="AA13" s="10"/>
    </row>
    <row r="14" spans="2:27" x14ac:dyDescent="0.2">
      <c r="B14" s="59">
        <f t="shared" si="0"/>
        <v>6</v>
      </c>
      <c r="C14" s="40" t="str">
        <f>А3!I21</f>
        <v>Интеграция с ИИ (Claude AI)</v>
      </c>
      <c r="D14" s="81" t="str">
        <f>А3!L21</f>
        <v>01.04.2026</v>
      </c>
      <c r="E14" s="82" t="str">
        <f>А3!M21</f>
        <v>18.04.2026</v>
      </c>
      <c r="F14" s="73"/>
      <c r="G14" s="74"/>
      <c r="H14" s="74"/>
      <c r="I14" s="74"/>
      <c r="J14" s="74"/>
      <c r="K14" s="74"/>
      <c r="L14" s="74"/>
      <c r="M14" s="74"/>
      <c r="N14" s="74"/>
      <c r="O14" s="74"/>
      <c r="P14" s="76"/>
      <c r="Q14" s="75"/>
      <c r="R14" s="60"/>
      <c r="S14" s="61"/>
      <c r="T14" s="62"/>
      <c r="U14" s="62"/>
      <c r="V14" s="62"/>
      <c r="W14" s="62"/>
      <c r="X14" s="62"/>
      <c r="Y14" s="62"/>
      <c r="Z14" s="63"/>
      <c r="AA14" s="10"/>
    </row>
    <row r="15" spans="2:27" x14ac:dyDescent="0.2">
      <c r="B15" s="59">
        <f t="shared" si="0"/>
        <v>7</v>
      </c>
      <c r="C15" s="40" t="str">
        <f>А3!I22</f>
        <v>Разработка веб-интерфейса</v>
      </c>
      <c r="D15" s="81" t="str">
        <f>А3!L22</f>
        <v>13.04.2026</v>
      </c>
      <c r="E15" s="82" t="str">
        <f>А3!M22</f>
        <v>30.04.2026</v>
      </c>
      <c r="F15" s="73"/>
      <c r="G15" s="74"/>
      <c r="H15" s="74"/>
      <c r="I15" s="74"/>
      <c r="J15" s="74"/>
      <c r="K15" s="74"/>
      <c r="L15" s="74"/>
      <c r="M15" s="74"/>
      <c r="N15" s="74"/>
      <c r="O15" s="74"/>
      <c r="P15" s="76"/>
      <c r="Q15" s="75"/>
      <c r="R15" s="60"/>
      <c r="S15" s="61"/>
      <c r="T15" s="62"/>
      <c r="U15" s="62"/>
      <c r="V15" s="62"/>
      <c r="W15" s="62"/>
      <c r="X15" s="62"/>
      <c r="Y15" s="62"/>
      <c r="Z15" s="63"/>
      <c r="AA15" s="10"/>
    </row>
    <row r="16" spans="2:27" x14ac:dyDescent="0.2">
      <c r="B16" s="59">
        <f t="shared" si="0"/>
        <v>8</v>
      </c>
      <c r="C16" s="40" t="str">
        <f>А3!I23</f>
        <v>Тестирование на реальных чертежах</v>
      </c>
      <c r="D16" s="81" t="str">
        <f>А3!L23</f>
        <v>01.05.2026</v>
      </c>
      <c r="E16" s="82" t="str">
        <f>А3!M23</f>
        <v>22.05.2026</v>
      </c>
      <c r="F16" s="73"/>
      <c r="G16" s="74"/>
      <c r="H16" s="74"/>
      <c r="I16" s="74"/>
      <c r="J16" s="74"/>
      <c r="K16" s="74"/>
      <c r="L16" s="74"/>
      <c r="M16" s="74"/>
      <c r="N16" s="74"/>
      <c r="O16" s="74"/>
      <c r="P16" s="76"/>
      <c r="Q16" s="75"/>
      <c r="R16" s="60"/>
      <c r="S16" s="61"/>
      <c r="T16" s="62"/>
      <c r="U16" s="62"/>
      <c r="V16" s="62"/>
      <c r="W16" s="62"/>
      <c r="X16" s="62"/>
      <c r="Y16" s="62"/>
      <c r="Z16" s="64"/>
    </row>
    <row r="17" spans="2:27" x14ac:dyDescent="0.2">
      <c r="B17" s="59">
        <f t="shared" si="0"/>
        <v>9</v>
      </c>
      <c r="C17" s="40" t="str">
        <f>А3!I24</f>
        <v>Валидация результатов с нормировщиками</v>
      </c>
      <c r="D17" s="81" t="str">
        <f>А3!L24</f>
        <v>11.05.2026</v>
      </c>
      <c r="E17" s="82" t="str">
        <f>А3!M24</f>
        <v>29.05.2026</v>
      </c>
      <c r="F17" s="73"/>
      <c r="G17" s="74"/>
      <c r="H17" s="74"/>
      <c r="I17" s="74"/>
      <c r="J17" s="74"/>
      <c r="K17" s="74"/>
      <c r="L17" s="74"/>
      <c r="M17" s="74"/>
      <c r="N17" s="74"/>
      <c r="O17" s="74"/>
      <c r="P17" s="76"/>
      <c r="Q17" s="75"/>
      <c r="R17" s="60"/>
      <c r="S17" s="61"/>
      <c r="T17" s="62"/>
      <c r="U17" s="62"/>
      <c r="V17" s="62"/>
      <c r="W17" s="62"/>
      <c r="X17" s="62"/>
      <c r="Y17" s="62"/>
      <c r="Z17" s="64"/>
    </row>
    <row r="18" spans="2:27" x14ac:dyDescent="0.2">
      <c r="B18" s="59">
        <f t="shared" si="0"/>
        <v>10</v>
      </c>
      <c r="C18" s="40" t="str">
        <f>А3!I25</f>
        <v>Доработка по результатам тестирования</v>
      </c>
      <c r="D18" s="81" t="str">
        <f>А3!L25</f>
        <v>18.05.2026</v>
      </c>
      <c r="E18" s="82" t="str">
        <f>А3!M25</f>
        <v>05.06.2026</v>
      </c>
      <c r="F18" s="73"/>
      <c r="G18" s="74"/>
      <c r="H18" s="74"/>
      <c r="I18" s="74"/>
      <c r="J18" s="74"/>
      <c r="K18" s="74"/>
      <c r="L18" s="74"/>
      <c r="M18" s="74"/>
      <c r="N18" s="74"/>
      <c r="O18" s="74"/>
      <c r="P18" s="76"/>
      <c r="Q18" s="75"/>
      <c r="R18" s="60"/>
      <c r="S18" s="61"/>
      <c r="T18" s="62"/>
      <c r="U18" s="62"/>
      <c r="V18" s="62"/>
      <c r="W18" s="62"/>
      <c r="X18" s="62"/>
      <c r="Y18" s="62"/>
      <c r="Z18" s="64"/>
    </row>
    <row r="19" spans="2:27" x14ac:dyDescent="0.2">
      <c r="B19" s="59">
        <f t="shared" si="0"/>
        <v>11</v>
      </c>
      <c r="C19" s="40" t="str">
        <f>А3!I26</f>
        <v>Обучение пользователей</v>
      </c>
      <c r="D19" s="81" t="str">
        <f>А3!L26</f>
        <v>01.06.2026</v>
      </c>
      <c r="E19" s="82" t="str">
        <f>А3!M26</f>
        <v>12.06.2026</v>
      </c>
      <c r="F19" s="73"/>
      <c r="G19" s="74"/>
      <c r="H19" s="74"/>
      <c r="I19" s="74"/>
      <c r="J19" s="74"/>
      <c r="K19" s="74"/>
      <c r="L19" s="74"/>
      <c r="M19" s="74"/>
      <c r="N19" s="74"/>
      <c r="O19" s="74"/>
      <c r="P19" s="76"/>
      <c r="Q19" s="75"/>
      <c r="R19" s="60"/>
      <c r="S19" s="61"/>
      <c r="T19" s="62"/>
      <c r="U19" s="62"/>
      <c r="V19" s="62"/>
      <c r="W19" s="62"/>
      <c r="X19" s="62"/>
      <c r="Y19" s="62"/>
      <c r="Z19" s="63"/>
      <c r="AA19" s="10"/>
    </row>
    <row r="20" spans="2:27" ht="15.75" customHeight="1" thickBot="1" x14ac:dyDescent="0.25">
      <c r="B20" s="97">
        <f t="shared" si="0"/>
        <v>12</v>
      </c>
      <c r="C20" s="98" t="str">
        <f>А3!I27</f>
        <v>Ввод в опытную эксплуатацию</v>
      </c>
      <c r="D20" s="81" t="str">
        <f>А3!L27</f>
        <v>15.06.2026</v>
      </c>
      <c r="E20" s="82" t="str">
        <f>А3!M27</f>
        <v>30.06.2026</v>
      </c>
      <c r="F20" s="99"/>
      <c r="G20" s="100"/>
      <c r="H20" s="100"/>
      <c r="I20" s="100"/>
      <c r="J20" s="100"/>
      <c r="K20" s="100"/>
      <c r="L20" s="100"/>
      <c r="M20" s="100"/>
      <c r="N20" s="100"/>
      <c r="O20" s="100"/>
      <c r="P20" s="101"/>
      <c r="Q20" s="102"/>
      <c r="R20" s="65"/>
      <c r="S20" s="66"/>
      <c r="T20" s="67"/>
      <c r="U20" s="67"/>
      <c r="V20" s="67"/>
      <c r="W20" s="67"/>
      <c r="X20" s="67"/>
      <c r="Y20" s="67"/>
      <c r="Z20" s="68"/>
      <c r="AA20" s="69"/>
    </row>
    <row r="21" spans="2:27" ht="15.75" customHeight="1" thickBot="1" x14ac:dyDescent="0.25">
      <c r="B21" s="181" t="s">
        <v>138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82"/>
      <c r="R21" s="70">
        <f>(10*12)/8</f>
        <v>15</v>
      </c>
      <c r="S21" s="71">
        <f t="shared" ref="S21:Z21" si="1">SUM(S9:S20)</f>
        <v>0</v>
      </c>
      <c r="T21" s="71">
        <f t="shared" si="1"/>
        <v>0</v>
      </c>
      <c r="U21" s="71">
        <f t="shared" si="1"/>
        <v>0</v>
      </c>
      <c r="V21" s="71">
        <f t="shared" si="1"/>
        <v>0</v>
      </c>
      <c r="W21" s="71">
        <f t="shared" si="1"/>
        <v>0</v>
      </c>
      <c r="X21" s="71">
        <f t="shared" si="1"/>
        <v>0</v>
      </c>
      <c r="Y21" s="71">
        <f t="shared" si="1"/>
        <v>0</v>
      </c>
      <c r="Z21" s="71">
        <f t="shared" si="1"/>
        <v>0</v>
      </c>
      <c r="AA21" s="72">
        <f>SUM(R21:Z21)</f>
        <v>15</v>
      </c>
    </row>
  </sheetData>
  <mergeCells count="9">
    <mergeCell ref="B21:Q21"/>
    <mergeCell ref="B2:Q2"/>
    <mergeCell ref="C4:Q4"/>
    <mergeCell ref="F7:Q7"/>
    <mergeCell ref="R7:Z7"/>
    <mergeCell ref="D7:E7"/>
    <mergeCell ref="C5:Q5"/>
    <mergeCell ref="C7:C8"/>
    <mergeCell ref="B7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7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3" max="3" width="50.6640625" customWidth="1"/>
    <col min="4" max="5" width="15.6640625" customWidth="1"/>
  </cols>
  <sheetData>
    <row r="2" spans="2:5" ht="23.25" customHeight="1" x14ac:dyDescent="0.2">
      <c r="B2" s="183" t="s">
        <v>152</v>
      </c>
      <c r="C2" s="119"/>
    </row>
    <row r="4" spans="2:5" ht="15.75" customHeight="1" x14ac:dyDescent="0.2">
      <c r="B4" s="53" t="s">
        <v>145</v>
      </c>
      <c r="C4" s="184" t="str">
        <f>А3!F2</f>
        <v>Автоматизация нормирования трудозатрат
на производственные операции</v>
      </c>
      <c r="D4" s="151"/>
      <c r="E4" s="151"/>
    </row>
    <row r="5" spans="2:5" ht="15.75" customHeight="1" x14ac:dyDescent="0.2">
      <c r="B5" s="53" t="s">
        <v>146</v>
      </c>
      <c r="C5" s="187" t="str">
        <f>А3!D3</f>
        <v>Присваивается Проектным офисом</v>
      </c>
      <c r="D5" s="151"/>
      <c r="E5" s="151"/>
    </row>
    <row r="7" spans="2:5" x14ac:dyDescent="0.2">
      <c r="B7" s="186" t="s">
        <v>43</v>
      </c>
      <c r="C7" s="186" t="s">
        <v>147</v>
      </c>
      <c r="D7" s="186" t="s">
        <v>153</v>
      </c>
      <c r="E7" s="129"/>
    </row>
    <row r="8" spans="2:5" ht="45" customHeight="1" x14ac:dyDescent="0.2">
      <c r="B8" s="189"/>
      <c r="C8" s="189"/>
      <c r="D8" s="83" t="s">
        <v>154</v>
      </c>
      <c r="E8" s="83" t="s">
        <v>155</v>
      </c>
    </row>
    <row r="9" spans="2:5" ht="16" x14ac:dyDescent="0.2">
      <c r="B9" s="84" t="s">
        <v>156</v>
      </c>
      <c r="C9" s="85" t="s">
        <v>157</v>
      </c>
      <c r="D9" s="92">
        <f>SUM(D10:D21)</f>
        <v>0</v>
      </c>
      <c r="E9" s="92">
        <f>SUM(E10:E21)</f>
        <v>0</v>
      </c>
    </row>
    <row r="10" spans="2:5" ht="16" x14ac:dyDescent="0.2">
      <c r="B10" s="103">
        <f t="shared" ref="B10:B21" si="0">ROW()-9</f>
        <v>1</v>
      </c>
      <c r="C10" s="86" t="str">
        <f>А3!I16</f>
        <v>Анализ текущего процесса нормирования</v>
      </c>
      <c r="D10" s="93"/>
      <c r="E10" s="93"/>
    </row>
    <row r="11" spans="2:5" ht="16" x14ac:dyDescent="0.2">
      <c r="B11" s="103">
        <f t="shared" si="0"/>
        <v>2</v>
      </c>
      <c r="C11" s="86" t="str">
        <f>А3!I17</f>
        <v>Сбор и структурирование типовых маршрутов (236 шт.)</v>
      </c>
      <c r="D11" s="93"/>
      <c r="E11" s="93"/>
    </row>
    <row r="12" spans="2:5" ht="16" x14ac:dyDescent="0.2">
      <c r="B12" s="103">
        <f t="shared" si="0"/>
        <v>3</v>
      </c>
      <c r="C12" s="86" t="str">
        <f>А3!I18</f>
        <v>Формирование базы оборудования (254 ед.)</v>
      </c>
      <c r="D12" s="93"/>
      <c r="E12" s="93"/>
    </row>
    <row r="13" spans="2:5" ht="16" x14ac:dyDescent="0.2">
      <c r="B13" s="103">
        <f t="shared" si="0"/>
        <v>4</v>
      </c>
      <c r="C13" s="86" t="str">
        <f>А3!I19</f>
        <v>Разработка архитектуры приложения</v>
      </c>
      <c r="D13" s="93"/>
      <c r="E13" s="93"/>
    </row>
    <row r="14" spans="2:5" ht="16" x14ac:dyDescent="0.2">
      <c r="B14" s="103">
        <f t="shared" si="0"/>
        <v>5</v>
      </c>
      <c r="C14" s="86" t="str">
        <f>А3!I20</f>
        <v>Разработка конвейера обработки (6 этапов)</v>
      </c>
      <c r="D14" s="93"/>
      <c r="E14" s="93"/>
    </row>
    <row r="15" spans="2:5" ht="16" x14ac:dyDescent="0.2">
      <c r="B15" s="103">
        <f t="shared" si="0"/>
        <v>6</v>
      </c>
      <c r="C15" s="86" t="str">
        <f>А3!I21</f>
        <v>Интеграция с ИИ (Claude AI)</v>
      </c>
      <c r="D15" s="93"/>
      <c r="E15" s="93"/>
    </row>
    <row r="16" spans="2:5" ht="16" x14ac:dyDescent="0.2">
      <c r="B16" s="103">
        <f t="shared" si="0"/>
        <v>7</v>
      </c>
      <c r="C16" s="86" t="str">
        <f>А3!I22</f>
        <v>Разработка веб-интерфейса</v>
      </c>
      <c r="D16" s="93"/>
      <c r="E16" s="93"/>
    </row>
    <row r="17" spans="2:5" ht="16" x14ac:dyDescent="0.2">
      <c r="B17" s="103">
        <f t="shared" si="0"/>
        <v>8</v>
      </c>
      <c r="C17" s="86" t="str">
        <f>А3!I23</f>
        <v>Тестирование на реальных чертежах</v>
      </c>
      <c r="D17" s="93"/>
      <c r="E17" s="93"/>
    </row>
    <row r="18" spans="2:5" ht="16" x14ac:dyDescent="0.2">
      <c r="B18" s="103">
        <f t="shared" si="0"/>
        <v>9</v>
      </c>
      <c r="C18" s="86" t="str">
        <f>А3!I24</f>
        <v>Валидация результатов с нормировщиками</v>
      </c>
      <c r="D18" s="93"/>
      <c r="E18" s="93"/>
    </row>
    <row r="19" spans="2:5" ht="16" x14ac:dyDescent="0.2">
      <c r="B19" s="103">
        <f t="shared" si="0"/>
        <v>10</v>
      </c>
      <c r="C19" s="86" t="str">
        <f>А3!I25</f>
        <v>Доработка по результатам тестирования</v>
      </c>
      <c r="D19" s="93"/>
      <c r="E19" s="93"/>
    </row>
    <row r="20" spans="2:5" ht="16" x14ac:dyDescent="0.2">
      <c r="B20" s="103">
        <f t="shared" si="0"/>
        <v>11</v>
      </c>
      <c r="C20" s="86" t="str">
        <f>А3!I26</f>
        <v>Обучение пользователей</v>
      </c>
      <c r="D20" s="93"/>
      <c r="E20" s="93"/>
    </row>
    <row r="21" spans="2:5" ht="16" x14ac:dyDescent="0.2">
      <c r="B21" s="103">
        <f t="shared" si="0"/>
        <v>12</v>
      </c>
      <c r="C21" s="86" t="str">
        <f>А3!I27</f>
        <v>Ввод в опытную эксплуатацию</v>
      </c>
      <c r="D21" s="93"/>
      <c r="E21" s="94"/>
    </row>
    <row r="22" spans="2:5" ht="16" x14ac:dyDescent="0.2">
      <c r="B22" s="87" t="s">
        <v>158</v>
      </c>
      <c r="C22" s="88" t="s">
        <v>159</v>
      </c>
      <c r="D22" s="95">
        <f>SUM(D23:D25)</f>
        <v>0</v>
      </c>
      <c r="E22" s="95">
        <f>SUM(E23:E25)</f>
        <v>0</v>
      </c>
    </row>
    <row r="23" spans="2:5" x14ac:dyDescent="0.2">
      <c r="B23" s="89">
        <v>1</v>
      </c>
      <c r="C23" s="90"/>
      <c r="D23" s="93"/>
      <c r="E23" s="93"/>
    </row>
    <row r="24" spans="2:5" x14ac:dyDescent="0.2">
      <c r="B24" s="89">
        <v>2</v>
      </c>
      <c r="C24" s="90"/>
      <c r="D24" s="93"/>
      <c r="E24" s="93"/>
    </row>
    <row r="25" spans="2:5" x14ac:dyDescent="0.2">
      <c r="B25" s="89">
        <v>3</v>
      </c>
      <c r="C25" s="90"/>
      <c r="D25" s="93"/>
      <c r="E25" s="93"/>
    </row>
    <row r="26" spans="2:5" x14ac:dyDescent="0.2">
      <c r="B26" s="190" t="s">
        <v>138</v>
      </c>
      <c r="C26" s="119"/>
      <c r="D26" s="96">
        <f>D9+D22</f>
        <v>0</v>
      </c>
      <c r="E26" s="96">
        <f>E9+E22</f>
        <v>0</v>
      </c>
    </row>
    <row r="27" spans="2:5" ht="16" x14ac:dyDescent="0.2">
      <c r="C27" s="91" t="s">
        <v>160</v>
      </c>
      <c r="D27" s="188">
        <f>D26+E26</f>
        <v>0</v>
      </c>
      <c r="E27" s="116"/>
    </row>
  </sheetData>
  <mergeCells count="8">
    <mergeCell ref="B2:C2"/>
    <mergeCell ref="D7:E7"/>
    <mergeCell ref="C5:E5"/>
    <mergeCell ref="D27:E27"/>
    <mergeCell ref="C7:C8"/>
    <mergeCell ref="C4:E4"/>
    <mergeCell ref="B7:B8"/>
    <mergeCell ref="B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А3</vt:lpstr>
      <vt:lpstr>Ресурсы</vt:lpstr>
      <vt:lpstr>Бюджет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Христофоров Константин Алексеевич</dc:creator>
  <cp:lastModifiedBy>Людмила</cp:lastModifiedBy>
  <cp:lastPrinted>2023-08-31T11:05:28Z</cp:lastPrinted>
  <dcterms:created xsi:type="dcterms:W3CDTF">2015-06-05T18:19:34Z</dcterms:created>
  <dcterms:modified xsi:type="dcterms:W3CDTF">2026-04-15T19:14:33Z</dcterms:modified>
</cp:coreProperties>
</file>